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A_Tracks\DataSets\"/>
    </mc:Choice>
  </mc:AlternateContent>
  <xr:revisionPtr revIDLastSave="0" documentId="13_ncr:1_{EA7A57D4-8B14-48A9-B9A5-8629A0CA34A5}" xr6:coauthVersionLast="47" xr6:coauthVersionMax="47" xr10:uidLastSave="{00000000-0000-0000-0000-000000000000}"/>
  <bookViews>
    <workbookView xWindow="-96" yWindow="0" windowWidth="11712" windowHeight="13056" firstSheet="7" activeTab="7" xr2:uid="{00000000-000D-0000-FFFF-FFFF00000000}"/>
  </bookViews>
  <sheets>
    <sheet name="Cars accidents since 2020 " sheetId="11" r:id="rId1"/>
    <sheet name="Trains accidents since 2020" sheetId="2" r:id="rId2"/>
    <sheet name="2024 monthly dead" sheetId="3" r:id="rId3"/>
    <sheet name="2024 ambulances + population" sheetId="12" r:id="rId4"/>
    <sheet name="Govern aged deads 2024" sheetId="4" r:id="rId5"/>
    <sheet name="injuries 2020 to 2024" sheetId="6" r:id="rId6"/>
    <sheet name="Injuries 2020 to 2024 with ages" sheetId="9" r:id="rId7"/>
    <sheet name="monthly 2024 injuries by govern" sheetId="5" r:id="rId8"/>
    <sheet name="Dead 2020 to 2024 Each month" sheetId="7" r:id="rId9"/>
    <sheet name="Dead 2020 to 2024 with ages" sheetId="10" r:id="rId10"/>
    <sheet name="Dangerous points in Egypts" sheetId="8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2" l="1"/>
  <c r="E29" i="12"/>
  <c r="G29" i="12" s="1"/>
  <c r="E28" i="12"/>
  <c r="G28" i="12" s="1"/>
  <c r="E27" i="12"/>
  <c r="G27" i="12" s="1"/>
  <c r="E26" i="12"/>
  <c r="G26" i="12" s="1"/>
  <c r="F25" i="12"/>
  <c r="E25" i="12"/>
  <c r="G25" i="12" s="1"/>
  <c r="E24" i="12"/>
  <c r="G24" i="12" s="1"/>
  <c r="E23" i="12"/>
  <c r="G23" i="12" s="1"/>
  <c r="E22" i="12"/>
  <c r="G22" i="12" s="1"/>
  <c r="F21" i="12"/>
  <c r="E21" i="12"/>
  <c r="G21" i="12" s="1"/>
  <c r="E20" i="12"/>
  <c r="G20" i="12" s="1"/>
  <c r="E19" i="12"/>
  <c r="G19" i="12" s="1"/>
  <c r="E18" i="12"/>
  <c r="G18" i="12" s="1"/>
  <c r="F17" i="12"/>
  <c r="E17" i="12"/>
  <c r="G17" i="12" s="1"/>
  <c r="E16" i="12"/>
  <c r="G16" i="12" s="1"/>
  <c r="E15" i="12"/>
  <c r="G15" i="12" s="1"/>
  <c r="E14" i="12"/>
  <c r="G14" i="12" s="1"/>
  <c r="F13" i="12"/>
  <c r="E13" i="12"/>
  <c r="G13" i="12" s="1"/>
  <c r="E12" i="12"/>
  <c r="G12" i="12" s="1"/>
  <c r="E11" i="12"/>
  <c r="G11" i="12" s="1"/>
  <c r="E10" i="12"/>
  <c r="G10" i="12" s="1"/>
  <c r="F9" i="12"/>
  <c r="E9" i="12"/>
  <c r="G9" i="12" s="1"/>
  <c r="E8" i="12"/>
  <c r="G8" i="12" s="1"/>
  <c r="E7" i="12"/>
  <c r="G7" i="12" s="1"/>
  <c r="E6" i="12"/>
  <c r="G6" i="12" s="1"/>
  <c r="F5" i="12"/>
  <c r="E5" i="12"/>
  <c r="G5" i="12" s="1"/>
  <c r="E4" i="12"/>
  <c r="G4" i="12" s="1"/>
  <c r="E3" i="12"/>
  <c r="G3" i="12" s="1"/>
  <c r="E2" i="12"/>
  <c r="G2" i="12" s="1"/>
  <c r="D2" i="12"/>
  <c r="C2" i="12"/>
  <c r="B2" i="12"/>
  <c r="A2" i="12"/>
  <c r="G6" i="11"/>
  <c r="D6" i="11"/>
  <c r="H5" i="11"/>
  <c r="G5" i="11"/>
  <c r="E5" i="11"/>
  <c r="D5" i="11"/>
  <c r="H4" i="11"/>
  <c r="G4" i="11"/>
  <c r="E4" i="11"/>
  <c r="D4" i="11"/>
  <c r="H3" i="11"/>
  <c r="G3" i="11"/>
  <c r="E3" i="11"/>
  <c r="D3" i="11"/>
  <c r="H2" i="11"/>
  <c r="G2" i="11"/>
  <c r="E2" i="11"/>
  <c r="D2" i="11"/>
  <c r="N6" i="9"/>
  <c r="N5" i="9"/>
  <c r="N4" i="9"/>
  <c r="N3" i="9"/>
  <c r="F3" i="2"/>
  <c r="F4" i="2"/>
  <c r="F5" i="2"/>
  <c r="F6" i="2"/>
  <c r="F2" i="2"/>
  <c r="F2" i="12" l="1"/>
  <c r="F6" i="12"/>
  <c r="F10" i="12"/>
  <c r="F14" i="12"/>
  <c r="F18" i="12"/>
  <c r="F22" i="12"/>
  <c r="F26" i="12"/>
  <c r="F3" i="12"/>
  <c r="F7" i="12"/>
  <c r="F11" i="12"/>
  <c r="F15" i="12"/>
  <c r="F19" i="12"/>
  <c r="F23" i="12"/>
  <c r="F27" i="12"/>
  <c r="F4" i="12"/>
  <c r="F8" i="12"/>
  <c r="F12" i="12"/>
  <c r="F16" i="12"/>
  <c r="F20" i="12"/>
  <c r="F24" i="12"/>
  <c r="F28" i="12"/>
  <c r="D2" i="2" l="1"/>
  <c r="G2" i="2"/>
  <c r="D3" i="2"/>
  <c r="D4" i="2"/>
  <c r="D5" i="2"/>
  <c r="G3" i="2"/>
  <c r="G4" i="2"/>
  <c r="G5" i="2"/>
  <c r="AF30" i="4"/>
  <c r="AH30" i="4" s="1"/>
  <c r="AH29" i="4"/>
  <c r="AF29" i="4"/>
  <c r="AG29" i="4" s="1"/>
  <c r="AF28" i="4"/>
  <c r="AH28" i="4" s="1"/>
  <c r="AF27" i="4"/>
  <c r="AH27" i="4" s="1"/>
  <c r="AF26" i="4"/>
  <c r="AH26" i="4" s="1"/>
  <c r="AF25" i="4"/>
  <c r="AH25" i="4" s="1"/>
  <c r="AF24" i="4"/>
  <c r="AH24" i="4" s="1"/>
  <c r="AF23" i="4"/>
  <c r="AH23" i="4" s="1"/>
  <c r="AF22" i="4"/>
  <c r="AG22" i="4" s="1"/>
  <c r="AF21" i="4"/>
  <c r="AG21" i="4" s="1"/>
  <c r="AF20" i="4"/>
  <c r="AH20" i="4" s="1"/>
  <c r="AF19" i="4"/>
  <c r="AH19" i="4" s="1"/>
  <c r="AH18" i="4"/>
  <c r="AF18" i="4"/>
  <c r="AG18" i="4" s="1"/>
  <c r="AF17" i="4"/>
  <c r="AG17" i="4" s="1"/>
  <c r="AF16" i="4"/>
  <c r="AH16" i="4" s="1"/>
  <c r="AF15" i="4"/>
  <c r="AH15" i="4" s="1"/>
  <c r="AF14" i="4"/>
  <c r="AH14" i="4" s="1"/>
  <c r="AF13" i="4"/>
  <c r="AH13" i="4" s="1"/>
  <c r="AF12" i="4"/>
  <c r="AH12" i="4" s="1"/>
  <c r="AF11" i="4"/>
  <c r="AH11" i="4" s="1"/>
  <c r="AF10" i="4"/>
  <c r="AG10" i="4" s="1"/>
  <c r="AF9" i="4"/>
  <c r="AH9" i="4" s="1"/>
  <c r="AF8" i="4"/>
  <c r="AH8" i="4" s="1"/>
  <c r="AF7" i="4"/>
  <c r="AH7" i="4" s="1"/>
  <c r="AG6" i="4"/>
  <c r="AF6" i="4"/>
  <c r="AH6" i="4" s="1"/>
  <c r="AF5" i="4"/>
  <c r="AG5" i="4" s="1"/>
  <c r="AF4" i="4"/>
  <c r="AH4" i="4" s="1"/>
  <c r="AE3" i="4"/>
  <c r="AD3" i="4"/>
  <c r="AC3" i="4"/>
  <c r="AB3" i="4"/>
  <c r="AA3" i="4"/>
  <c r="Z3" i="4"/>
  <c r="Y3" i="4"/>
  <c r="X3" i="4"/>
  <c r="AG16" i="4" l="1"/>
  <c r="AH22" i="4"/>
  <c r="AH10" i="4"/>
  <c r="AH17" i="4"/>
  <c r="AH5" i="4"/>
  <c r="AG13" i="4"/>
  <c r="AG28" i="4"/>
  <c r="AH21" i="4"/>
  <c r="AG9" i="4"/>
  <c r="AG14" i="4"/>
  <c r="AG25" i="4"/>
  <c r="AG30" i="4"/>
  <c r="AG4" i="4"/>
  <c r="AG20" i="4"/>
  <c r="AG26" i="4"/>
  <c r="AG8" i="4"/>
  <c r="AG12" i="4"/>
  <c r="AG24" i="4"/>
  <c r="AF3" i="4"/>
  <c r="AG11" i="4"/>
  <c r="AG19" i="4"/>
  <c r="AG23" i="4"/>
  <c r="AG15" i="4"/>
  <c r="AG7" i="4"/>
  <c r="AG27" i="4"/>
  <c r="AH3" i="4" l="1"/>
  <c r="AG3" i="4"/>
</calcChain>
</file>

<file path=xl/sharedStrings.xml><?xml version="1.0" encoding="utf-8"?>
<sst xmlns="http://schemas.openxmlformats.org/spreadsheetml/2006/main" count="631" uniqueCount="365">
  <si>
    <t>Cruelty rate (Deceased / injured*100)</t>
  </si>
  <si>
    <t>Number of Estimated population in the middle of the 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</si>
  <si>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</si>
  <si>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</si>
  <si>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</si>
  <si>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</si>
  <si>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</si>
  <si>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</si>
  <si>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</si>
  <si>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</si>
  <si>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</si>
  <si>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</si>
  <si>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</si>
  <si>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</si>
  <si>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</si>
  <si>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Cairo</t>
  </si>
  <si>
    <t>Alexandria</t>
  </si>
  <si>
    <t>Port_said</t>
  </si>
  <si>
    <t>السويس</t>
  </si>
  <si>
    <t>Suez</t>
  </si>
  <si>
    <t>Ismailia</t>
  </si>
  <si>
    <t>دمياط</t>
  </si>
  <si>
    <t>Damietta</t>
  </si>
  <si>
    <t>Dakahlia</t>
  </si>
  <si>
    <t>Sharkia</t>
  </si>
  <si>
    <t>Kalyoubia</t>
  </si>
  <si>
    <t>كفر الشيخ</t>
  </si>
  <si>
    <t>Kafr_ El Sheikh</t>
  </si>
  <si>
    <t>Gharbia</t>
  </si>
  <si>
    <t>Menoufia</t>
  </si>
  <si>
    <t>Behera</t>
  </si>
  <si>
    <t>Giza</t>
  </si>
  <si>
    <t>Beni Suef</t>
  </si>
  <si>
    <t>الفيوم</t>
  </si>
  <si>
    <t>Fayoum</t>
  </si>
  <si>
    <t>المنيا</t>
  </si>
  <si>
    <t>Menia</t>
  </si>
  <si>
    <t>Asyout</t>
  </si>
  <si>
    <t>سوهاج</t>
  </si>
  <si>
    <t>Suhag</t>
  </si>
  <si>
    <t>قنا</t>
  </si>
  <si>
    <t>Qena</t>
  </si>
  <si>
    <t>Aswan</t>
  </si>
  <si>
    <t>Luxor</t>
  </si>
  <si>
    <t>مطروح</t>
  </si>
  <si>
    <t>Matrouh</t>
  </si>
  <si>
    <t>الوادى الجديد</t>
  </si>
  <si>
    <t>Elwadi ElGidid</t>
  </si>
  <si>
    <t>Red Sea</t>
  </si>
  <si>
    <t>North Sinai</t>
  </si>
  <si>
    <t>جنوب سيناء</t>
  </si>
  <si>
    <t>South Sinai</t>
  </si>
  <si>
    <t>Male</t>
  </si>
  <si>
    <t>Female</t>
  </si>
  <si>
    <t>Total Male</t>
  </si>
  <si>
    <t>Total Female</t>
  </si>
  <si>
    <t>Less than 5</t>
  </si>
  <si>
    <t>65+</t>
  </si>
  <si>
    <t>5 to 15</t>
  </si>
  <si>
    <t>15 to 25</t>
  </si>
  <si>
    <t>25 to 35</t>
  </si>
  <si>
    <t>35 to 45</t>
  </si>
  <si>
    <t>45 to 55</t>
  </si>
  <si>
    <t>55 to 65</t>
  </si>
  <si>
    <t>القاهرة</t>
  </si>
  <si>
    <t>الإسكندرية</t>
  </si>
  <si>
    <t>الإسماعيلية</t>
  </si>
  <si>
    <t>الدقهلية</t>
  </si>
  <si>
    <t>الشرقية</t>
  </si>
  <si>
    <t>القليوبية</t>
  </si>
  <si>
    <t>الغربية</t>
  </si>
  <si>
    <t>المنوفية</t>
  </si>
  <si>
    <t>البحيرة</t>
  </si>
  <si>
    <t>الجيزة</t>
  </si>
  <si>
    <t>pass by the road</t>
  </si>
  <si>
    <t>Driver</t>
  </si>
  <si>
    <t>Passenger</t>
  </si>
  <si>
    <t>other\unknown</t>
  </si>
  <si>
    <t>Car</t>
  </si>
  <si>
    <t>Train</t>
  </si>
  <si>
    <t>Motorcycle</t>
  </si>
  <si>
    <t>Number of cars</t>
  </si>
  <si>
    <t>number of points</t>
  </si>
  <si>
    <t>Male count</t>
  </si>
  <si>
    <t>Femal count</t>
  </si>
  <si>
    <t>Total Population in the middle of the year</t>
  </si>
  <si>
    <t>Ambulance center per 100, 000 people</t>
  </si>
  <si>
    <t>Ambulance per 25000 people</t>
  </si>
  <si>
    <t>male</t>
  </si>
  <si>
    <t>female</t>
  </si>
  <si>
    <t>Year</t>
  </si>
  <si>
    <t>0</t>
  </si>
  <si>
    <t>Injuries</t>
  </si>
  <si>
    <t>Deads</t>
  </si>
  <si>
    <t>pedestrian \pass by the road</t>
  </si>
  <si>
    <t>passenger</t>
  </si>
  <si>
    <t>passenger outside the vehicle</t>
  </si>
  <si>
    <t>Bicycle\ Three-wheeled vehicle</t>
  </si>
  <si>
    <t>Others</t>
  </si>
  <si>
    <t>Vechile type</t>
  </si>
  <si>
    <t>Injuried type</t>
  </si>
  <si>
    <t>Gender</t>
  </si>
  <si>
    <t>Monthly</t>
  </si>
  <si>
    <t xml:space="preserve">pass by the road </t>
  </si>
  <si>
    <t>Dead type</t>
  </si>
  <si>
    <t>Aged deads</t>
  </si>
  <si>
    <t>جدول(26)</t>
  </si>
  <si>
    <t>Table(26)</t>
  </si>
  <si>
    <t>م</t>
  </si>
  <si>
    <t>اسم الطريق</t>
  </si>
  <si>
    <t>المحافظات التي يمر بها الطريق</t>
  </si>
  <si>
    <t>النقاط الأكثر خطورة</t>
  </si>
  <si>
    <t>القاهرة - السويس الصحراوى</t>
  </si>
  <si>
    <t xml:space="preserve">القاهرة </t>
  </si>
  <si>
    <t xml:space="preserve">خلف معسكر مبارك - أمام دير بطمس - أمام مقابر الرحاب </t>
  </si>
  <si>
    <t xml:space="preserve">أمام الجامعه - طريق السلام كلا الإتجاهين </t>
  </si>
  <si>
    <t>القاهرة - الإسماعيلية - بورسعيد الصحراوى</t>
  </si>
  <si>
    <t xml:space="preserve">مناطق الكيلو 23 , 24 في الإتجاهين </t>
  </si>
  <si>
    <t xml:space="preserve">القليوبية </t>
  </si>
  <si>
    <t>أمام مدينة المستقبل - أمام سوق العبور- أمام أكوا بارك - صينية الفيروز</t>
  </si>
  <si>
    <t xml:space="preserve">الشرقية  </t>
  </si>
  <si>
    <t xml:space="preserve">مدخل العاشر - كوبري سيراميكا - كوبري الأردنية </t>
  </si>
  <si>
    <t xml:space="preserve">الإسماعيلية  </t>
  </si>
  <si>
    <t xml:space="preserve">من الكيلو 108 حتي الكيلو 110 ( منطقة المنايف ) - منطقة المعسكرات بعد محطة وقود طايع - إتجاه القاهرة - منطقة عز الدين للقادم من بورسعيد - إتجاه القاهرة منطقة السحر والجمال - صينية الغرب - الكيلو 17- الحرش - أمام الإستثمار - دوران شطا - أسفل كوبري المحور - أمام الخليجية </t>
  </si>
  <si>
    <t xml:space="preserve">القاهرة - الإسكندرية الزراعى </t>
  </si>
  <si>
    <t xml:space="preserve">أمام كوبرى الفرنوانى - كوبرى قلما - أمام نفق سندهور - مطلع كوبرى قليوب - مرور طوخ - مفارق المنصورة - مفارق سنديون - طلعة كوبرى قها - دوران سندنهور - عدد 2 دوران بمنطقة سنديون </t>
  </si>
  <si>
    <t xml:space="preserve">دوران أبنهس </t>
  </si>
  <si>
    <t xml:space="preserve">منطقة مزلقات كفر العيص - الكيلو 114 / دوران كفر الشيخ مخلوف - الكيلو 129 - منطقة مزلقات التوفيقية 118 / أمام مصنع سينيوريتا / الدلجمون - شبرا النملة - دوران محطة وقود الشرقاوي - الكيلو 123 / أمام شركة البترول / نزله كوبري النيل </t>
  </si>
  <si>
    <t xml:space="preserve">البحيرة </t>
  </si>
  <si>
    <t xml:space="preserve">عدد 2 دوران لقرية شبرا النوته ( إيتاي البارود ) - دوران قرية دنشال - دوران الإذاعة - دوران قرية اليمنية - أمام معهد الخدمة الاجتماعية - ومعهد بحوث الصحة الحيوانية بدمنهور - أمام كافتريا الشيخ محمد - معمل القزاز - بين أبو حمص كفر الدوار - قرية كفر مساعد - إيتاي البارود / أمام قرية البيضا - كفر الدوار - قرية أنور المفتي - أبو حمص  </t>
  </si>
  <si>
    <t xml:space="preserve">كمين أبيس - مدخل سموحة - مدخل الخشب - مطار النزهة </t>
  </si>
  <si>
    <t xml:space="preserve">القاهرة - الإسكندرية الصحراوى </t>
  </si>
  <si>
    <t xml:space="preserve">الجيزة </t>
  </si>
  <si>
    <t xml:space="preserve">الكيلو 6 - منطقة قطر الندي - من الكيلو 58 - حتي الكيلو 60 ( منطقة أبو غالب ) - الطريق بأكمله </t>
  </si>
  <si>
    <t xml:space="preserve">مدخل قرية التحدي - مدخل قرية الإمام مالك - أمام منطقة السجون - الكيلو 95 / الكيلو 102 - مدخل الدولي - الكيلو 62  / الكيلو 133 - مدخل التحدي - الكيلو 107 - مدخل الدلنجات </t>
  </si>
  <si>
    <t xml:space="preserve">كوبري العامرية - مدخل عبد القادر - أمام بتروجيت - منطقة عرابي - منطقة العامرية - منطقة المستعمرة - منطقة زوايه عبد القادر </t>
  </si>
  <si>
    <t xml:space="preserve">القاهرة - الإسماعيلية الزراعى </t>
  </si>
  <si>
    <t>كوبرى أبوشنب - أمام شركات البترول - مطلع مسطرد</t>
  </si>
  <si>
    <t xml:space="preserve"> كوبرى الشباب - المنير </t>
  </si>
  <si>
    <t>القاهرة - الفيوم الصحراوى</t>
  </si>
  <si>
    <t xml:space="preserve">الكيلو 30 - مخرج من الطريق الداعم الرئيسي لمسافة 150 متر في الإتجاه القادم من ميدان الرمايه إتجاه الفيوم - من التجنيد إلي الدبابه - الكيلو 21 - الطريق بأكمله </t>
  </si>
  <si>
    <t xml:space="preserve"> مدخل جرفس - أمام مساكن ميمنة - كوبرى البرم - أسفل كوبرى بيهمو </t>
  </si>
  <si>
    <t>القاهرة - أسوان الصحراوى الغربى</t>
  </si>
  <si>
    <t xml:space="preserve">من الكيلو 45 وحتي الكيلو 120 ( في الإتجاهين ) - الطريق بأكمله </t>
  </si>
  <si>
    <t xml:space="preserve">الفيوم </t>
  </si>
  <si>
    <t xml:space="preserve">أمام صوامع قصر الباسل / أمام مدينة الفيوم / مطلع كوبري الواسطي - مدخل أبو صير - بني سويف في الإتجاه القادم من أسيوط - بين جرزا وطهما / مطلع 55 بعد الإقليمي </t>
  </si>
  <si>
    <t xml:space="preserve"> بنى سويف</t>
  </si>
  <si>
    <t xml:space="preserve">أمام الصوامع - كمين سمسطا </t>
  </si>
  <si>
    <t xml:space="preserve"> المنيا</t>
  </si>
  <si>
    <t xml:space="preserve">بحري البهنسا / بحري بلنصورة - محور سمالوط / مدخل مصنع السكر - بحري كارته المنيا </t>
  </si>
  <si>
    <t>أسيوط</t>
  </si>
  <si>
    <t xml:space="preserve">قبلي كمين القوصيه - بحري بوابة أسيوط - قبلي أسمنت التعمير </t>
  </si>
  <si>
    <t xml:space="preserve">قرب مصنع الأسمنت </t>
  </si>
  <si>
    <t xml:space="preserve">مدخل الدير الغربي / مدخل بركه - إتجاه نجع حمادي - المزرعه اليابانية - مركز الوقف / كمين الكرنك - قنا - الوادي الجديد الغربي - مدخل الزوايده - مركز نقادة </t>
  </si>
  <si>
    <t xml:space="preserve">أسوان </t>
  </si>
  <si>
    <t>الصينية</t>
  </si>
  <si>
    <t>القاهرة - أسوان الصحراوى الشرقي</t>
  </si>
  <si>
    <t xml:space="preserve">الوادي الصحراوي </t>
  </si>
  <si>
    <t xml:space="preserve">المنيا </t>
  </si>
  <si>
    <t xml:space="preserve">نفق سنور / بحري وقبلي مدخل ملوي - بحري بوابة الرسوم - بحري وقبلي مدخل بني حسن </t>
  </si>
  <si>
    <t xml:space="preserve">أسيوط </t>
  </si>
  <si>
    <t xml:space="preserve">الكيلو 25 - أول نفق إتجاه القاهرة </t>
  </si>
  <si>
    <t xml:space="preserve">بني سويف </t>
  </si>
  <si>
    <t xml:space="preserve">نفق أبو صالح - نفق سينور </t>
  </si>
  <si>
    <t xml:space="preserve">سوهاج </t>
  </si>
  <si>
    <t xml:space="preserve">المسافة من الكيلو 45 إلي الكيلو 80 </t>
  </si>
  <si>
    <t xml:space="preserve">قنا </t>
  </si>
  <si>
    <t>دوران سوهاج مع سفاجا في الإتجاه البحري والقبلي</t>
  </si>
  <si>
    <t xml:space="preserve">القاهرة - أسوان الزراعي  الغربي </t>
  </si>
  <si>
    <t xml:space="preserve">نقطة مفارق جرزا </t>
  </si>
  <si>
    <t xml:space="preserve">كوبري النيل - بني مزار - محور سمالوط - قبلي أبو قرقاص </t>
  </si>
  <si>
    <t xml:space="preserve">بحري المحرص - بحري الروضه - كوبري النيل - بني مزار </t>
  </si>
  <si>
    <t xml:space="preserve">طريق الأربعين </t>
  </si>
  <si>
    <t xml:space="preserve">عزبه روفائيل / مدخل بني رافع - مدخل بني شقير / عزبه الدارين - ملف أبو عزيز / مدخل شطب </t>
  </si>
  <si>
    <t xml:space="preserve"> الطريق الدائرى </t>
  </si>
  <si>
    <t xml:space="preserve">مطلع كوبري المرج المستحدث إتجاه الزراعي / قبل منزل مسطرود إتجاه نفق السلام - أسفل كوبري محمد فوزي في الإتجاه القديم من التجمع الخامس - إتجاه المنيب - برج سما القادم من التجمع الخامس - إتجاه المنيب / أمام منزل الجزائر - إتجاه التجمع </t>
  </si>
  <si>
    <t xml:space="preserve">منطقه القومية في الإتجاهين - منطقه صفط اللبن في الإتجاهين - تحديدا مطلع كوبري الجامعة ومنزل صفط اللبن - حي الهرم وكفر طهرمس في الإتجاهين </t>
  </si>
  <si>
    <t xml:space="preserve"> ( القاهرة الكبرى)</t>
  </si>
  <si>
    <t xml:space="preserve">أمام أبراج سما - دائري المعادي </t>
  </si>
  <si>
    <t xml:space="preserve">أعلي قسم  البساتين - دائري المعادي </t>
  </si>
  <si>
    <t xml:space="preserve"> الجيزة </t>
  </si>
  <si>
    <t xml:space="preserve">دائري الوراق - محور صفط اللبن - دائري المنيب </t>
  </si>
  <si>
    <t>تقاطع شبرا - بنها مع الدائري / أمام نزلة الخصوص - بين نزلة المرج والخصوص إتجاه الجيزة / أمام نزلة باسوس بين نزله بهتيم و مسطرد إتجاه السلام</t>
  </si>
  <si>
    <t>القاهرة - بلبيس الصحراوى</t>
  </si>
  <si>
    <t xml:space="preserve">الكيلو 26 أمام معهد العبور </t>
  </si>
  <si>
    <t xml:space="preserve"> الشرقية</t>
  </si>
  <si>
    <t xml:space="preserve">كوبري بردين / أبو سمران - مدخل بلبيس / أمام المظلات - أسفل الإقليمي </t>
  </si>
  <si>
    <t xml:space="preserve">الكيلو 48 - نقطه تقاطع الطريق الإقليمي مع طريق بلبيس </t>
  </si>
  <si>
    <t xml:space="preserve">القطامية - السخنة </t>
  </si>
  <si>
    <t xml:space="preserve">القاهرة  </t>
  </si>
  <si>
    <t xml:space="preserve">أمام محطة وقود المستر - مدخل المدينة الأولمبية - كافتريا الغزلان </t>
  </si>
  <si>
    <t xml:space="preserve">السويس </t>
  </si>
  <si>
    <t xml:space="preserve">أمام مطاحن الخمس نجوم أول طريق السخنة - كلا الإتجاهين </t>
  </si>
  <si>
    <t>بورسعيد - دمياط</t>
  </si>
  <si>
    <t xml:space="preserve">دمياط </t>
  </si>
  <si>
    <t xml:space="preserve">كمين شطا - المطار- أمام حلواني الزيني وبدوي </t>
  </si>
  <si>
    <t>دمياط - المنصورة الشرقى</t>
  </si>
  <si>
    <t xml:space="preserve">مدخل ترعة السلام / بنزينه عزه الكاشف - أمام الحوراني / شرمساح - مدخل الغنيمة </t>
  </si>
  <si>
    <t xml:space="preserve">قرية الخياريه - بداوي </t>
  </si>
  <si>
    <t xml:space="preserve">المنصورة - المطرية </t>
  </si>
  <si>
    <t xml:space="preserve">الدقهلية </t>
  </si>
  <si>
    <t xml:space="preserve">شها - كفر علام </t>
  </si>
  <si>
    <t xml:space="preserve">الحسينية - المنزلة - بورسعيد </t>
  </si>
  <si>
    <t>كمين الإسكندرية الجديد - المنطقة الصناعية بالعصافره - مسجد إبن السلام - الطريق الجديد</t>
  </si>
  <si>
    <t xml:space="preserve">كفر صقر - السنبلاوين </t>
  </si>
  <si>
    <t xml:space="preserve">برقين - مدخل البلد </t>
  </si>
  <si>
    <t xml:space="preserve">ديرب نجم - سندوب - المنصورة </t>
  </si>
  <si>
    <t xml:space="preserve">شاوه </t>
  </si>
  <si>
    <t xml:space="preserve">الصالحية - فاقوس </t>
  </si>
  <si>
    <t xml:space="preserve">الشرقية </t>
  </si>
  <si>
    <t>مفارق أبو كراسيع - مدخل الحج عمر</t>
  </si>
  <si>
    <t>الزقازيق - أولاد صقر</t>
  </si>
  <si>
    <t xml:space="preserve">أمام أبو الشقوق - أمام كوبري الميزانية - مدخل كفر صقر </t>
  </si>
  <si>
    <t>الزقازيق - ميت غمر</t>
  </si>
  <si>
    <t xml:space="preserve">أم الزين - مدخل منيا القمح - الأشراف </t>
  </si>
  <si>
    <t xml:space="preserve">أمام مصنع الصوفي </t>
  </si>
  <si>
    <t>الزقازيق - ديرب نجم - السنبلاوين</t>
  </si>
  <si>
    <t xml:space="preserve">أمام اكوة - أمام القنايات </t>
  </si>
  <si>
    <t>الزقازيق - الحسنة - بحر البقر - الملاحة - بورسعيد</t>
  </si>
  <si>
    <t xml:space="preserve">الملاحة - مدخل صان الحجر </t>
  </si>
  <si>
    <t xml:space="preserve">قبل مدخل العدوه - إتجاه ههيا - أمام أبو ياسين - مدخل قاقوس </t>
  </si>
  <si>
    <t>جنيفة</t>
  </si>
  <si>
    <t xml:space="preserve">مدخل كوبري جنيفة - أمام المركز الطبي العالمي </t>
  </si>
  <si>
    <t xml:space="preserve">مخــرج طريــق جنيفــة - نهايــة الطريــق القــديم إتجــاه السويــس - قبل بورتــو - طريــق السخنــة إتجــاه السـويــس ب 2 كيلو </t>
  </si>
  <si>
    <t>شبرا - بنها</t>
  </si>
  <si>
    <t xml:space="preserve">تقاطع الطريق مع الإقليمي نزلة بنها  - قبل نزلة الزقازيق بحوالي 5 كم - قبل البوابات بين شبرا و بوابة الرسوم </t>
  </si>
  <si>
    <t>بنها - الزقازيق الزراعى</t>
  </si>
  <si>
    <t xml:space="preserve">القليوبية  </t>
  </si>
  <si>
    <t>أمام كمين شبلنجة - مفارق الزقازيق</t>
  </si>
  <si>
    <t xml:space="preserve">الزنكلون / أمام العزيزية - مدخل منيا القمح </t>
  </si>
  <si>
    <t xml:space="preserve">بنها - المنصورة الزراعى </t>
  </si>
  <si>
    <t xml:space="preserve">القليوبية   </t>
  </si>
  <si>
    <t xml:space="preserve">مطلع الاقليمى  - أمام كوبري أسنيت - أمام مظلوم للسيراميك </t>
  </si>
  <si>
    <t xml:space="preserve">كفر عوض - كوبري أبو نبهان - كفر النعيم </t>
  </si>
  <si>
    <t>طريق 36 الحربى</t>
  </si>
  <si>
    <t xml:space="preserve">مفارق المستقبل - مفارق نصار - مفارق العنب </t>
  </si>
  <si>
    <t xml:space="preserve">مفارق أبو نصار - أمام مدخل الصالحية - قبل صينية القصاصين </t>
  </si>
  <si>
    <t>الغربية - المنصورة - دمياط الغربى</t>
  </si>
  <si>
    <t xml:space="preserve">الغربية </t>
  </si>
  <si>
    <t xml:space="preserve">كارفور - الخيال / مفارق صفط تراب / أمام مصنع القاضي - أمام الراهبين - محلة خلف </t>
  </si>
  <si>
    <t xml:space="preserve">بطره / كوبري شرنقاش - كمين رأس الخليج - قرية السعدية </t>
  </si>
  <si>
    <t xml:space="preserve"> دمياط</t>
  </si>
  <si>
    <t xml:space="preserve">أمام قرية الاسماعيلية - أمام سعد البلد / أسفل كوبري فارسكور - كمين السلام </t>
  </si>
  <si>
    <t>طنطا - كفر الشيخ - بلطيم ( الرافد الدولى)</t>
  </si>
  <si>
    <t xml:space="preserve">الأمن المركزي - نزله قطور من الدولي </t>
  </si>
  <si>
    <t>فيلا يونس عبد الرازق - كوبري 83 - مدخل الحصفة - كوبري كلش - مدخل أبو ريا</t>
  </si>
  <si>
    <t>المحلة - كفرالشيخ</t>
  </si>
  <si>
    <t>نزلة المعتمدية و الجبرية</t>
  </si>
  <si>
    <t>مدخل أبو عمر - وحتي الكوبري الأزرق  - كوبري متبول</t>
  </si>
  <si>
    <t>وادى النطرون - العلمين</t>
  </si>
  <si>
    <t>ك 4 عند قرية سند - ك 15 أبناء الغربية - ك 25 دير موسي الأسود - ك 35 - ك 55 - ك 65 - ك 70 مدخل طريق جبل حامد</t>
  </si>
  <si>
    <t>محور الضبعة</t>
  </si>
  <si>
    <t>محور روض الفرج</t>
  </si>
  <si>
    <t xml:space="preserve">ك 1 مدخل الإقليمي - ك 20 مدخل السعودية - ك 92 بتروشهد - ك 60 - ك 100 أوراسكوم - ك 130 - ك 46 مدخل ليبيا  </t>
  </si>
  <si>
    <t xml:space="preserve"> طريق الواحات</t>
  </si>
  <si>
    <t xml:space="preserve">الطريق بأكمله - وصله أبو غالب </t>
  </si>
  <si>
    <t>طريق المريوطية</t>
  </si>
  <si>
    <t>الطريق ما بعد وحده برنشت</t>
  </si>
  <si>
    <t xml:space="preserve">محور الفريق كمال عامر </t>
  </si>
  <si>
    <t xml:space="preserve">بداية من شارع الهرم وحتي شارع جامعة الدول </t>
  </si>
  <si>
    <t xml:space="preserve">الكيلو 21 حلوان - الكريمات </t>
  </si>
  <si>
    <t xml:space="preserve">من الأخصاص إلي الكداية </t>
  </si>
  <si>
    <t xml:space="preserve">محور 26 يوليو </t>
  </si>
  <si>
    <t xml:space="preserve">الطريق بأكمله </t>
  </si>
  <si>
    <t xml:space="preserve">المناشي - الخطاطبة </t>
  </si>
  <si>
    <t>الفيوم - بنى سويف الزراعى</t>
  </si>
  <si>
    <t xml:space="preserve">أمام دير العزب - أسفل كوبري أسيوط - أمام قرية دمشقين هواره </t>
  </si>
  <si>
    <t>الطريق السياحى بالفيوم</t>
  </si>
  <si>
    <t xml:space="preserve">ملف جزيزة البط ـ مفارق اللؤلؤة ـ مدخل الجيلاني مركز أبشواي ـ أمام قرية الصبيحي ـ بوابة وادي الريان </t>
  </si>
  <si>
    <t>الفيوم - بني سويف الجديد</t>
  </si>
  <si>
    <t xml:space="preserve">مدخل طريق أسيوط قبل المساكن </t>
  </si>
  <si>
    <t xml:space="preserve">الصحراوى الشرقى القديم </t>
  </si>
  <si>
    <t xml:space="preserve"> مدخل دير العذراء / بحري بني حسن - محور سمالوط - محور البرشا </t>
  </si>
  <si>
    <t xml:space="preserve">مدخل حوطة - بحري النقب </t>
  </si>
  <si>
    <t xml:space="preserve">أسيوط - الغنايم </t>
  </si>
  <si>
    <t>مدخل المشايعه - مدخل دير ريفا - كافيتيريا عرب أسيوط</t>
  </si>
  <si>
    <t xml:space="preserve">أسيوط - أسوان الزراعي الشرقي </t>
  </si>
  <si>
    <t xml:space="preserve">كوبري الجمصة </t>
  </si>
  <si>
    <t xml:space="preserve">كوبري المخزن - كوبري العبودي - مدخل الشيخ عيسي </t>
  </si>
  <si>
    <t>سوهاج - سفاجا</t>
  </si>
  <si>
    <t>الكيلو 100</t>
  </si>
  <si>
    <t>قنا - سفاجا</t>
  </si>
  <si>
    <t>ك 45 - ك 61 - ك 19 - مصنع أسمنت النهضة</t>
  </si>
  <si>
    <t>قفط - القصير</t>
  </si>
  <si>
    <t xml:space="preserve">نقط متعددة بالطريق عبارة عن تهالك بالطريق </t>
  </si>
  <si>
    <t xml:space="preserve">أبو سمبل السياحي الدولي </t>
  </si>
  <si>
    <t xml:space="preserve">الكيلو 55 - الكيلو 140- مدخل توشكا </t>
  </si>
  <si>
    <t xml:space="preserve">البحر الأحمر الساحلي الشرقي </t>
  </si>
  <si>
    <t xml:space="preserve">البحر الأحمر </t>
  </si>
  <si>
    <t xml:space="preserve">عند دير الأنبا بولا </t>
  </si>
  <si>
    <t>ديروط - الفرافرة</t>
  </si>
  <si>
    <t xml:space="preserve">الكيلو 70 من الفرافرة - الكيلو 190 من الفرافرة </t>
  </si>
  <si>
    <t>الفرافرة - عين دلة</t>
  </si>
  <si>
    <t>ك 70 من الفرافرة</t>
  </si>
  <si>
    <t xml:space="preserve">الداخلة - بئر طرفاوى - ش. العوينات </t>
  </si>
  <si>
    <t xml:space="preserve">ك 25 من الدخلة ـ ك 120 من الدخلة - ك 200 من الدخلة ـ ك 290 من الدخلة </t>
  </si>
  <si>
    <t xml:space="preserve"> الخارجة - أسيوط</t>
  </si>
  <si>
    <t>أمام شركة الأسمنت</t>
  </si>
  <si>
    <t xml:space="preserve">ك 20 من الخارجة ـ ك 75 من الخارجة ـ ك 130 من الخارجة </t>
  </si>
  <si>
    <t>الخارجة - باريس</t>
  </si>
  <si>
    <t xml:space="preserve">ك 10 من الخارجة ـ ك 25 من الخارجة ـ ك 50 من الخارجة ـ ك 80 من الخارجة </t>
  </si>
  <si>
    <t>باريس - قرى الشب - شرق العوينات</t>
  </si>
  <si>
    <t xml:space="preserve">ك 15 إتجاه باريس ـ ك 120 إتجاه باريس ـ ك 290 إتجاه باريس </t>
  </si>
  <si>
    <t>الأقصر - بغداد</t>
  </si>
  <si>
    <t xml:space="preserve">ك 15 من بغداد ـ ك 160 من بغداد ـ ك 190 من بغداد </t>
  </si>
  <si>
    <t>الخارجة - الداخلة</t>
  </si>
  <si>
    <t xml:space="preserve">ك  40 من الخارجة ـ ك 100 من الخارجة ـ ك 145 من الخارجة ـ ك 190 من الخارجة </t>
  </si>
  <si>
    <t>الداخلة - الفرافرة</t>
  </si>
  <si>
    <t xml:space="preserve">ك 10 من الداخلة ـ ك 35 من الدخلة ـ ك 65 من الدخلة ـ ك 180 من الدخلة ـ ك 230 من الدخلة </t>
  </si>
  <si>
    <t>الواحات البحرية - الفرافرة</t>
  </si>
  <si>
    <t xml:space="preserve">ك 35 من الفرافرة </t>
  </si>
  <si>
    <t>الاسماعيلية - منفذ العوجة</t>
  </si>
  <si>
    <t xml:space="preserve">شمال سيناء </t>
  </si>
  <si>
    <t xml:space="preserve">منطقه الحمة - الطريق الجديدة - خلف مصنع الأسمنت - منطقة مجمع الصناعات </t>
  </si>
  <si>
    <t xml:space="preserve">السويس - الوسط - طابا </t>
  </si>
  <si>
    <t xml:space="preserve">بين التمد والنقب </t>
  </si>
  <si>
    <t>شرق النفق - شرم الشيخ القديم</t>
  </si>
  <si>
    <t xml:space="preserve">مدخل أبو صويرة - ملفات أبو زنيمة </t>
  </si>
  <si>
    <t>شرم الشيخ الدولى الجديد</t>
  </si>
  <si>
    <t xml:space="preserve">أمـام مصنــع الجبــس - حمـام فرعـون - بعـد كارتـة الساحــل - 10 كيـلو إتجـاه النفـق - بعـد كارتـة المفــارق ب 15 كيلو - إتجاه الطور </t>
  </si>
  <si>
    <t>الكيلو 50 القادم من شرم - إتجاه النفق</t>
  </si>
  <si>
    <t>الطور - كاترين</t>
  </si>
  <si>
    <t xml:space="preserve">بعد المفارق ب 10 كيلو - كمين الجيش - عرب الحسوة </t>
  </si>
  <si>
    <t>شرم الشيخ - نوبيع - طابا</t>
  </si>
  <si>
    <t xml:space="preserve">مدخل الرويسات / مطلع ونازلة الصاعدة - بين خريزة والدائري - كمين مدسوس </t>
  </si>
  <si>
    <t xml:space="preserve">كاترين - نوبيع </t>
  </si>
  <si>
    <t xml:space="preserve">جنوب سيناء </t>
  </si>
  <si>
    <t xml:space="preserve">طريق المطار - بعد كمين سعال بحوالي 15 كم - إتجاه التحرير </t>
  </si>
  <si>
    <t xml:space="preserve">الدائرى الأوسطى </t>
  </si>
  <si>
    <t xml:space="preserve">بداية ونهاية منحدر مرورا بنفق الأوتوستراد / مدخل بن زايد الجنوبي - مدخل الكيان العسكر - تقاطع الأوسطي مع الأوتوستراد / مدخل شق الثعبان </t>
  </si>
  <si>
    <t xml:space="preserve">أمام مدينة العبور الجديدة </t>
  </si>
  <si>
    <t xml:space="preserve">أمام المركز الطبي العالمي </t>
  </si>
  <si>
    <t xml:space="preserve">الدولى الساحلى </t>
  </si>
  <si>
    <t xml:space="preserve">شمال سيناء   </t>
  </si>
  <si>
    <t xml:space="preserve">تقاطع ريم البوادي - بالوظة - محطة مياه التلول -  منحني مزار / منحني أبو عاصي - قبر عمير </t>
  </si>
  <si>
    <t xml:space="preserve"> أمام شركة الكهرباء - عزبة 6 </t>
  </si>
  <si>
    <t xml:space="preserve">الكسارة </t>
  </si>
  <si>
    <t>مدخل مارينا دلتا - مدخل شاطئ الأمل - محطة وطنية برج البرلس - مدخل بركة غليون - كوبــرى    زكريا - أمام محطة كهرباء البرلس</t>
  </si>
  <si>
    <t xml:space="preserve">كوبرى 45 مدخل اسكندرية - كوبرى الطرفاية إدكو </t>
  </si>
  <si>
    <t xml:space="preserve"> بشاير الخير - مجمع شركات وادي القمر- كارفور العروبة - مدخل البرج القديم  </t>
  </si>
  <si>
    <t xml:space="preserve">مزلقان فوكة - ملف بق بق </t>
  </si>
  <si>
    <t>الدائرى الإقليمى</t>
  </si>
  <si>
    <t xml:space="preserve">منطقة بين الجبلاين - والنفق الغير الممهد - طريق المحاجر </t>
  </si>
  <si>
    <t xml:space="preserve"> القليوبية</t>
  </si>
  <si>
    <t xml:space="preserve">مطلع  الاقليمى إتجاه القاهرة / تقاطع الإقليمي مع نزلة المنوفية في الإتجاهين - تقاطع الإقليمي مع طريق شبرا - بنها - نزلة الإقليمي - إتجاه الأسكندرية </t>
  </si>
  <si>
    <t>أمام وطنية القارون إتجاه نزلة الواحات - إتجاه بوابة العياط والصف</t>
  </si>
  <si>
    <t xml:space="preserve">نزلة غيتة - قبل كارتة بلبيس - إتجاه العاشر - قبل كارتة بلبيس - إتجاه الصنافين </t>
  </si>
  <si>
    <t>Accidents ENR and Others liability</t>
  </si>
  <si>
    <t xml:space="preserve">number of passengers per million </t>
  </si>
  <si>
    <t>ENR liability</t>
  </si>
  <si>
    <t>Accidents to workers</t>
  </si>
  <si>
    <t>307</t>
  </si>
  <si>
    <t xml:space="preserve"> Percentage change of deads</t>
  </si>
  <si>
    <t>Percentage change of injuired</t>
  </si>
  <si>
    <t xml:space="preserve">
Infected</t>
  </si>
  <si>
    <t xml:space="preserve">
Death</t>
  </si>
  <si>
    <t xml:space="preserve">Years </t>
  </si>
  <si>
    <t xml:space="preserve">  Percentage change of injuired</t>
  </si>
  <si>
    <t>Infected</t>
  </si>
  <si>
    <t>Percentage change of deads</t>
  </si>
  <si>
    <t>-8.1</t>
  </si>
  <si>
    <t>dead / 100 thousand inhabitants</t>
  </si>
  <si>
    <t>Ambulance</t>
  </si>
  <si>
    <t>Govern</t>
  </si>
  <si>
    <t>Governorate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</si>
</sst>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Tajawal"/>
    </font>
    <font>
      <sz val="11"/>
      <name val="Tajawal"/>
    </font>
    <font>
      <sz val="11"/>
      <color theme="1"/>
      <name val="Tajawal"/>
    </font>
    <font>
      <b/>
      <sz val="11"/>
      <color theme="1"/>
      <name val="Tajawal"/>
    </font>
    <font>
      <b/>
      <sz val="11"/>
      <name val="Tajawal"/>
    </font>
    <font>
      <sz val="10"/>
      <color indexed="8"/>
      <name val="Arial"/>
      <family val="2"/>
    </font>
    <font>
      <sz val="11"/>
      <color indexed="8"/>
      <name val="Tajawal"/>
    </font>
    <font>
      <b/>
      <sz val="11"/>
      <color indexed="8"/>
      <name val="Tajawal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986E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254B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0" fontId="4" fillId="0" borderId="0"/>
    <xf numFmtId="0" fontId="1" fillId="0" borderId="0"/>
    <xf numFmtId="0" fontId="7" fillId="0" borderId="0"/>
    <xf numFmtId="0" fontId="7" fillId="0" borderId="0"/>
    <xf numFmtId="9" fontId="10" fillId="0" borderId="0" applyFont="0" applyFill="0" applyBorder="0" applyAlignment="0" applyProtection="0"/>
  </cellStyleXfs>
  <cellXfs count="165">
    <xf numFmtId="0" fontId="0" fillId="0" borderId="0" xfId="0"/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 wrapText="1" readingOrder="1"/>
    </xf>
    <xf numFmtId="0" fontId="3" fillId="0" borderId="11" xfId="0" applyFont="1" applyBorder="1" applyAlignment="1">
      <alignment horizontal="center" vertical="center" wrapText="1" readingOrder="1"/>
    </xf>
    <xf numFmtId="49" fontId="3" fillId="0" borderId="0" xfId="0" applyNumberFormat="1" applyFont="1" applyAlignment="1">
      <alignment horizontal="center" vertical="center" wrapText="1" readingOrder="1"/>
    </xf>
    <xf numFmtId="164" fontId="3" fillId="0" borderId="0" xfId="0" applyNumberFormat="1" applyFont="1" applyAlignment="1">
      <alignment horizontal="center" vertical="center" wrapText="1" readingOrder="1"/>
    </xf>
    <xf numFmtId="0" fontId="3" fillId="0" borderId="12" xfId="0" applyFont="1" applyBorder="1" applyAlignment="1">
      <alignment horizontal="center" vertical="center" wrapText="1" readingOrder="1"/>
    </xf>
    <xf numFmtId="164" fontId="3" fillId="0" borderId="5" xfId="0" applyNumberFormat="1" applyFont="1" applyBorder="1" applyAlignment="1">
      <alignment horizontal="center" vertical="center" wrapText="1" readingOrder="1"/>
    </xf>
    <xf numFmtId="164" fontId="3" fillId="0" borderId="3" xfId="0" applyNumberFormat="1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 readingOrder="1"/>
    </xf>
    <xf numFmtId="0" fontId="3" fillId="0" borderId="1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 wrapText="1"/>
    </xf>
    <xf numFmtId="0" fontId="2" fillId="2" borderId="7" xfId="2" applyFont="1" applyFill="1" applyBorder="1" applyAlignment="1">
      <alignment horizontal="center" vertical="center" wrapText="1"/>
    </xf>
    <xf numFmtId="0" fontId="2" fillId="4" borderId="1" xfId="2" applyFont="1" applyFill="1" applyBorder="1" applyAlignment="1">
      <alignment horizontal="center" vertical="center" wrapText="1"/>
    </xf>
    <xf numFmtId="0" fontId="2" fillId="4" borderId="1" xfId="2" applyFont="1" applyFill="1" applyBorder="1" applyAlignment="1">
      <alignment horizontal="left" vertical="center" wrapText="1"/>
    </xf>
    <xf numFmtId="0" fontId="4" fillId="0" borderId="4" xfId="2" applyBorder="1"/>
    <xf numFmtId="0" fontId="4" fillId="0" borderId="4" xfId="2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4" fillId="0" borderId="13" xfId="2" applyBorder="1"/>
    <xf numFmtId="0" fontId="4" fillId="0" borderId="13" xfId="2" applyBorder="1" applyAlignment="1">
      <alignment horizontal="center" vertical="center"/>
    </xf>
    <xf numFmtId="0" fontId="5" fillId="0" borderId="13" xfId="2" applyFont="1" applyBorder="1" applyAlignment="1">
      <alignment horizontal="center" vertical="center"/>
    </xf>
    <xf numFmtId="0" fontId="4" fillId="0" borderId="7" xfId="2" applyBorder="1"/>
    <xf numFmtId="0" fontId="4" fillId="0" borderId="7" xfId="2" applyBorder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0" fontId="2" fillId="2" borderId="9" xfId="2" applyFont="1" applyFill="1" applyBorder="1" applyAlignment="1">
      <alignment horizontal="center" vertical="center" wrapText="1"/>
    </xf>
    <xf numFmtId="0" fontId="2" fillId="4" borderId="1" xfId="2" applyFont="1" applyFill="1" applyBorder="1" applyAlignment="1">
      <alignment horizontal="center" vertical="center"/>
    </xf>
    <xf numFmtId="16" fontId="2" fillId="2" borderId="7" xfId="2" applyNumberFormat="1" applyFont="1" applyFill="1" applyBorder="1" applyAlignment="1">
      <alignment horizontal="center" vertical="center" wrapText="1"/>
    </xf>
    <xf numFmtId="0" fontId="2" fillId="4" borderId="1" xfId="2" applyFont="1" applyFill="1" applyBorder="1"/>
    <xf numFmtId="0" fontId="2" fillId="4" borderId="0" xfId="2" applyFont="1" applyFill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10" xfId="3" applyFont="1" applyBorder="1" applyAlignment="1">
      <alignment horizontal="center" vertical="center"/>
    </xf>
    <xf numFmtId="0" fontId="4" fillId="0" borderId="8" xfId="3" applyFont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64" fontId="2" fillId="4" borderId="8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0" fontId="2" fillId="2" borderId="7" xfId="3" applyFont="1" applyFill="1" applyBorder="1" applyAlignment="1">
      <alignment horizontal="center" vertical="center" wrapText="1" readingOrder="2"/>
    </xf>
    <xf numFmtId="0" fontId="2" fillId="2" borderId="7" xfId="3" applyFont="1" applyFill="1" applyBorder="1" applyAlignment="1">
      <alignment horizontal="center" vertical="center" readingOrder="2"/>
    </xf>
    <xf numFmtId="0" fontId="3" fillId="0" borderId="4" xfId="0" applyFont="1" applyBorder="1" applyAlignment="1">
      <alignment horizontal="center" vertical="center" wrapText="1" readingOrder="1"/>
    </xf>
    <xf numFmtId="0" fontId="6" fillId="0" borderId="4" xfId="0" applyFont="1" applyBorder="1" applyAlignment="1">
      <alignment horizontal="center" vertical="center" wrapText="1" readingOrder="1"/>
    </xf>
    <xf numFmtId="0" fontId="3" fillId="0" borderId="13" xfId="0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center" vertical="center" wrapText="1" readingOrder="1"/>
    </xf>
    <xf numFmtId="0" fontId="3" fillId="0" borderId="7" xfId="0" applyFont="1" applyBorder="1" applyAlignment="1">
      <alignment horizontal="center" vertical="center" wrapText="1" readingOrder="1"/>
    </xf>
    <xf numFmtId="0" fontId="6" fillId="0" borderId="7" xfId="0" applyFont="1" applyBorder="1" applyAlignment="1">
      <alignment horizontal="center" vertical="center" wrapText="1" readingOrder="1"/>
    </xf>
    <xf numFmtId="0" fontId="3" fillId="0" borderId="4" xfId="3" applyFont="1" applyBorder="1" applyAlignment="1">
      <alignment horizontal="center" vertical="center" wrapText="1" readingOrder="1"/>
    </xf>
    <xf numFmtId="0" fontId="3" fillId="0" borderId="13" xfId="3" applyFont="1" applyBorder="1" applyAlignment="1">
      <alignment horizontal="center" vertical="center" wrapText="1" readingOrder="1"/>
    </xf>
    <xf numFmtId="0" fontId="3" fillId="0" borderId="7" xfId="3" applyFont="1" applyBorder="1" applyAlignment="1">
      <alignment horizontal="center" vertical="center" wrapText="1" readingOrder="1"/>
    </xf>
    <xf numFmtId="0" fontId="2" fillId="4" borderId="4" xfId="0" applyFont="1" applyFill="1" applyBorder="1" applyAlignment="1">
      <alignment horizontal="center" vertical="center" wrapText="1"/>
    </xf>
    <xf numFmtId="0" fontId="8" fillId="0" borderId="13" xfId="4" applyFont="1" applyBorder="1" applyAlignment="1">
      <alignment horizontal="center" vertical="center"/>
    </xf>
    <xf numFmtId="0" fontId="9" fillId="0" borderId="13" xfId="4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6" fillId="0" borderId="7" xfId="3" applyFont="1" applyBorder="1" applyAlignment="1">
      <alignment horizontal="center" vertical="center"/>
    </xf>
    <xf numFmtId="0" fontId="2" fillId="4" borderId="4" xfId="0" applyFont="1" applyFill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/>
    </xf>
    <xf numFmtId="0" fontId="3" fillId="0" borderId="7" xfId="3" applyFont="1" applyBorder="1"/>
    <xf numFmtId="0" fontId="4" fillId="0" borderId="4" xfId="3" applyFont="1" applyBorder="1" applyAlignment="1">
      <alignment horizontal="center" vertical="center"/>
    </xf>
    <xf numFmtId="0" fontId="4" fillId="0" borderId="13" xfId="3" applyFont="1" applyBorder="1" applyAlignment="1">
      <alignment horizontal="center" vertical="center"/>
    </xf>
    <xf numFmtId="0" fontId="4" fillId="0" borderId="7" xfId="3" applyFont="1" applyBorder="1" applyAlignment="1">
      <alignment horizontal="center" vertical="center"/>
    </xf>
    <xf numFmtId="0" fontId="2" fillId="2" borderId="13" xfId="3" applyFont="1" applyFill="1" applyBorder="1" applyAlignment="1">
      <alignment horizontal="center" vertical="center" readingOrder="2"/>
    </xf>
    <xf numFmtId="0" fontId="2" fillId="2" borderId="9" xfId="3" applyFont="1" applyFill="1" applyBorder="1" applyAlignment="1">
      <alignment horizontal="center" vertical="center" wrapText="1" readingOrder="2"/>
    </xf>
    <xf numFmtId="0" fontId="2" fillId="4" borderId="1" xfId="3" applyFont="1" applyFill="1" applyBorder="1" applyAlignment="1">
      <alignment horizontal="center" vertical="center"/>
    </xf>
    <xf numFmtId="0" fontId="8" fillId="0" borderId="4" xfId="5" applyFont="1" applyBorder="1" applyAlignment="1">
      <alignment horizontal="center" vertical="center"/>
    </xf>
    <xf numFmtId="0" fontId="8" fillId="0" borderId="13" xfId="5" applyFont="1" applyBorder="1" applyAlignment="1">
      <alignment horizontal="center" vertical="center"/>
    </xf>
    <xf numFmtId="0" fontId="2" fillId="2" borderId="7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 wrapText="1" readingOrder="1"/>
    </xf>
    <xf numFmtId="0" fontId="4" fillId="0" borderId="5" xfId="3" applyFont="1" applyBorder="1" applyAlignment="1">
      <alignment horizontal="center" vertical="center"/>
    </xf>
    <xf numFmtId="49" fontId="4" fillId="0" borderId="5" xfId="3" applyNumberFormat="1" applyFont="1" applyBorder="1" applyAlignment="1">
      <alignment horizontal="center" vertical="center"/>
    </xf>
    <xf numFmtId="0" fontId="5" fillId="0" borderId="4" xfId="3" applyFont="1" applyBorder="1" applyAlignment="1">
      <alignment horizontal="center" vertical="center"/>
    </xf>
    <xf numFmtId="0" fontId="5" fillId="0" borderId="13" xfId="3" applyFont="1" applyBorder="1" applyAlignment="1">
      <alignment horizontal="center" vertical="center"/>
    </xf>
    <xf numFmtId="0" fontId="4" fillId="0" borderId="11" xfId="3" applyFont="1" applyBorder="1" applyAlignment="1">
      <alignment horizontal="center" vertical="center"/>
    </xf>
    <xf numFmtId="0" fontId="5" fillId="0" borderId="7" xfId="3" applyFont="1" applyBorder="1" applyAlignment="1">
      <alignment horizontal="center" vertical="center"/>
    </xf>
    <xf numFmtId="0" fontId="3" fillId="0" borderId="6" xfId="3" applyFont="1" applyBorder="1" applyAlignment="1">
      <alignment horizontal="center" vertical="center" wrapText="1" readingOrder="1"/>
    </xf>
    <xf numFmtId="0" fontId="3" fillId="0" borderId="3" xfId="3" applyFont="1" applyBorder="1" applyAlignment="1">
      <alignment horizontal="center" vertical="center" wrapText="1" readingOrder="1"/>
    </xf>
    <xf numFmtId="0" fontId="3" fillId="0" borderId="9" xfId="3" applyFont="1" applyBorder="1" applyAlignment="1">
      <alignment horizontal="center" vertical="center" wrapText="1" readingOrder="1"/>
    </xf>
    <xf numFmtId="0" fontId="2" fillId="4" borderId="4" xfId="3" applyFont="1" applyFill="1" applyBorder="1" applyAlignment="1">
      <alignment horizontal="center" vertical="center"/>
    </xf>
    <xf numFmtId="0" fontId="2" fillId="2" borderId="7" xfId="2" applyFont="1" applyFill="1" applyBorder="1" applyAlignment="1">
      <alignment horizontal="center" vertical="center"/>
    </xf>
    <xf numFmtId="0" fontId="4" fillId="0" borderId="4" xfId="2" applyBorder="1" applyAlignment="1">
      <alignment horizontal="center"/>
    </xf>
    <xf numFmtId="0" fontId="4" fillId="0" borderId="13" xfId="2" applyBorder="1" applyAlignment="1">
      <alignment horizontal="center"/>
    </xf>
    <xf numFmtId="0" fontId="4" fillId="0" borderId="7" xfId="2" applyBorder="1" applyAlignment="1">
      <alignment horizontal="center"/>
    </xf>
    <xf numFmtId="0" fontId="2" fillId="4" borderId="4" xfId="2" applyFont="1" applyFill="1" applyBorder="1" applyAlignment="1">
      <alignment horizontal="center" vertical="center"/>
    </xf>
    <xf numFmtId="0" fontId="3" fillId="0" borderId="4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0" fontId="2" fillId="2" borderId="13" xfId="2" applyFont="1" applyFill="1" applyBorder="1" applyAlignment="1">
      <alignment horizontal="center" vertical="center" wrapText="1"/>
    </xf>
    <xf numFmtId="0" fontId="5" fillId="0" borderId="0" xfId="2" applyFont="1"/>
    <xf numFmtId="0" fontId="2" fillId="2" borderId="1" xfId="0" applyFont="1" applyFill="1" applyBorder="1" applyAlignment="1">
      <alignment horizontal="center" vertical="center" readingOrder="2"/>
    </xf>
    <xf numFmtId="0" fontId="2" fillId="2" borderId="1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 readingOrder="2"/>
    </xf>
    <xf numFmtId="0" fontId="3" fillId="0" borderId="17" xfId="0" applyFont="1" applyBorder="1" applyAlignment="1">
      <alignment horizontal="right" vertical="center" wrapText="1"/>
    </xf>
    <xf numFmtId="0" fontId="3" fillId="0" borderId="19" xfId="0" applyFont="1" applyBorder="1" applyAlignment="1">
      <alignment horizontal="center" vertical="center" wrapText="1" readingOrder="2"/>
    </xf>
    <xf numFmtId="0" fontId="3" fillId="0" borderId="2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 readingOrder="2"/>
    </xf>
    <xf numFmtId="0" fontId="3" fillId="0" borderId="13" xfId="0" applyFont="1" applyBorder="1" applyAlignment="1">
      <alignment horizontal="center" vertical="center" wrapText="1" readingOrder="2"/>
    </xf>
    <xf numFmtId="0" fontId="3" fillId="0" borderId="24" xfId="0" applyFont="1" applyBorder="1" applyAlignment="1">
      <alignment horizontal="right" vertical="center" wrapText="1"/>
    </xf>
    <xf numFmtId="0" fontId="3" fillId="0" borderId="17" xfId="0" applyFont="1" applyBorder="1" applyAlignment="1">
      <alignment vertical="center" wrapText="1"/>
    </xf>
    <xf numFmtId="0" fontId="3" fillId="0" borderId="24" xfId="0" applyFont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3" fillId="0" borderId="31" xfId="0" applyFont="1" applyBorder="1" applyAlignment="1">
      <alignment horizontal="center" vertical="center" wrapText="1" readingOrder="2"/>
    </xf>
    <xf numFmtId="0" fontId="3" fillId="0" borderId="32" xfId="0" applyFont="1" applyBorder="1" applyAlignment="1">
      <alignment horizontal="center" vertical="center" wrapText="1" readingOrder="2"/>
    </xf>
    <xf numFmtId="0" fontId="3" fillId="0" borderId="33" xfId="0" applyFont="1" applyBorder="1" applyAlignment="1">
      <alignment horizontal="right" vertical="center" wrapText="1"/>
    </xf>
    <xf numFmtId="0" fontId="3" fillId="0" borderId="33" xfId="0" applyFont="1" applyBorder="1" applyAlignment="1">
      <alignment vertical="center" wrapText="1"/>
    </xf>
    <xf numFmtId="0" fontId="3" fillId="0" borderId="34" xfId="0" applyFont="1" applyBorder="1" applyAlignment="1">
      <alignment horizontal="center" vertical="center" wrapText="1" readingOrder="2"/>
    </xf>
    <xf numFmtId="0" fontId="3" fillId="0" borderId="35" xfId="0" applyFont="1" applyBorder="1" applyAlignment="1">
      <alignment horizontal="center" vertical="center" wrapText="1" readingOrder="2"/>
    </xf>
    <xf numFmtId="0" fontId="3" fillId="0" borderId="36" xfId="0" applyFont="1" applyBorder="1" applyAlignment="1">
      <alignment horizontal="center" vertical="center" wrapText="1" readingOrder="2"/>
    </xf>
    <xf numFmtId="0" fontId="3" fillId="0" borderId="33" xfId="0" applyFont="1" applyBorder="1" applyAlignment="1">
      <alignment vertical="center" wrapText="1" readingOrder="2"/>
    </xf>
    <xf numFmtId="0" fontId="3" fillId="0" borderId="17" xfId="0" applyFont="1" applyBorder="1" applyAlignment="1">
      <alignment horizontal="right" vertical="center" wrapText="1" readingOrder="2"/>
    </xf>
    <xf numFmtId="0" fontId="3" fillId="0" borderId="20" xfId="0" applyFont="1" applyBorder="1" applyAlignment="1">
      <alignment horizontal="right" vertical="center" wrapText="1" readingOrder="2"/>
    </xf>
    <xf numFmtId="0" fontId="3" fillId="0" borderId="32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right" vertical="center" wrapText="1" readingOrder="2"/>
    </xf>
    <xf numFmtId="0" fontId="3" fillId="0" borderId="16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right" vertical="center" wrapText="1" readingOrder="2"/>
    </xf>
    <xf numFmtId="0" fontId="3" fillId="0" borderId="19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right" vertical="center" wrapText="1" readingOrder="2"/>
    </xf>
    <xf numFmtId="0" fontId="3" fillId="0" borderId="40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right" vertical="center" wrapText="1" readingOrder="2"/>
    </xf>
    <xf numFmtId="0" fontId="3" fillId="0" borderId="40" xfId="0" applyFont="1" applyBorder="1" applyAlignment="1">
      <alignment horizontal="center" vertical="center" wrapText="1" readingOrder="2"/>
    </xf>
    <xf numFmtId="0" fontId="3" fillId="0" borderId="11" xfId="0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/>
    </xf>
    <xf numFmtId="0" fontId="2" fillId="2" borderId="7" xfId="2" applyFont="1" applyFill="1" applyBorder="1" applyAlignment="1">
      <alignment horizontal="center" vertical="center" wrapText="1" readingOrder="1"/>
    </xf>
    <xf numFmtId="0" fontId="3" fillId="3" borderId="4" xfId="0" applyFont="1" applyFill="1" applyBorder="1" applyAlignment="1">
      <alignment horizontal="center" vertical="center" wrapText="1"/>
    </xf>
    <xf numFmtId="49" fontId="3" fillId="0" borderId="7" xfId="1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 readingOrder="2"/>
    </xf>
    <xf numFmtId="0" fontId="3" fillId="0" borderId="23" xfId="0" applyFont="1" applyBorder="1" applyAlignment="1">
      <alignment horizontal="center" vertical="center" wrapText="1" readingOrder="2"/>
    </xf>
    <xf numFmtId="0" fontId="3" fillId="0" borderId="25" xfId="0" applyFont="1" applyBorder="1" applyAlignment="1">
      <alignment horizontal="center" vertical="center" wrapText="1" readingOrder="2"/>
    </xf>
    <xf numFmtId="0" fontId="3" fillId="0" borderId="16" xfId="0" applyFont="1" applyBorder="1" applyAlignment="1">
      <alignment horizontal="center" vertical="center" wrapText="1" readingOrder="2"/>
    </xf>
    <xf numFmtId="0" fontId="3" fillId="0" borderId="13" xfId="0" applyFont="1" applyBorder="1" applyAlignment="1">
      <alignment horizontal="center" vertical="center" wrapText="1" readingOrder="2"/>
    </xf>
    <xf numFmtId="0" fontId="3" fillId="0" borderId="19" xfId="0" applyFont="1" applyBorder="1" applyAlignment="1">
      <alignment horizontal="center" vertical="center" wrapText="1" readingOrder="2"/>
    </xf>
    <xf numFmtId="0" fontId="3" fillId="0" borderId="27" xfId="0" applyFont="1" applyBorder="1" applyAlignment="1">
      <alignment horizontal="center" vertical="center" wrapText="1" readingOrder="2"/>
    </xf>
    <xf numFmtId="0" fontId="3" fillId="0" borderId="29" xfId="0" applyFont="1" applyBorder="1" applyAlignment="1">
      <alignment horizontal="center" vertical="center" wrapText="1" readingOrder="2"/>
    </xf>
    <xf numFmtId="0" fontId="3" fillId="0" borderId="22" xfId="0" applyFont="1" applyBorder="1" applyAlignment="1">
      <alignment horizontal="center" vertical="center" wrapText="1" readingOrder="2"/>
    </xf>
    <xf numFmtId="0" fontId="3" fillId="0" borderId="26" xfId="0" applyFont="1" applyBorder="1" applyAlignment="1">
      <alignment horizontal="center" vertical="center" wrapText="1" readingOrder="2"/>
    </xf>
    <xf numFmtId="0" fontId="3" fillId="0" borderId="34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right" vertical="center" wrapText="1" readingOrder="2"/>
    </xf>
    <xf numFmtId="0" fontId="3" fillId="0" borderId="24" xfId="0" applyFont="1" applyBorder="1" applyAlignment="1">
      <alignment horizontal="right" vertical="center" wrapText="1" readingOrder="2"/>
    </xf>
    <xf numFmtId="0" fontId="3" fillId="0" borderId="15" xfId="0" applyFont="1" applyBorder="1" applyAlignment="1">
      <alignment horizontal="center" vertical="center" wrapText="1" readingOrder="2"/>
    </xf>
    <xf numFmtId="0" fontId="3" fillId="0" borderId="18" xfId="0" applyFont="1" applyBorder="1" applyAlignment="1">
      <alignment horizontal="center" vertical="center" wrapText="1" readingOrder="2"/>
    </xf>
    <xf numFmtId="0" fontId="3" fillId="0" borderId="34" xfId="0" applyFont="1" applyBorder="1" applyAlignment="1">
      <alignment horizontal="center" vertical="center" wrapText="1" readingOrder="2"/>
    </xf>
    <xf numFmtId="0" fontId="3" fillId="0" borderId="35" xfId="0" applyFont="1" applyBorder="1" applyAlignment="1">
      <alignment horizontal="center" vertical="center" wrapText="1" readingOrder="2"/>
    </xf>
    <xf numFmtId="0" fontId="3" fillId="0" borderId="28" xfId="0" applyFont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wrapText="1" readingOrder="2"/>
    </xf>
    <xf numFmtId="0" fontId="3" fillId="0" borderId="30" xfId="0" applyFont="1" applyBorder="1" applyAlignment="1">
      <alignment horizontal="center" vertical="center" wrapText="1" readingOrder="2"/>
    </xf>
    <xf numFmtId="0" fontId="3" fillId="0" borderId="7" xfId="0" applyFont="1" applyBorder="1" applyAlignment="1">
      <alignment horizontal="center" vertical="center" wrapText="1" readingOrder="2"/>
    </xf>
    <xf numFmtId="9" fontId="3" fillId="0" borderId="3" xfId="6" applyFont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</cellXfs>
  <cellStyles count="7">
    <cellStyle name="Ali" xfId="2" xr:uid="{F540844A-70B0-4644-B864-639D8208E24C}"/>
    <cellStyle name="Normal" xfId="0" builtinId="0"/>
    <cellStyle name="Normal 2" xfId="3" xr:uid="{BC25A8B1-75F7-4E21-9351-D714921EC5AA}"/>
    <cellStyle name="Normal_Sheet3" xfId="4" xr:uid="{BB1CB800-2648-43CC-86F5-9D90ABF6387F}"/>
    <cellStyle name="Normal_Sheet4" xfId="5" xr:uid="{70AF1014-CC4D-4A7C-B436-9AFB092FDDC2}"/>
    <cellStyle name="Normal_المعدلات" xfId="1" xr:uid="{92686504-C787-44C9-AF1D-892025C790D2}"/>
    <cellStyle name="Percent" xfId="6" builtinId="5"/>
  </cellStyles>
  <dxfs count="12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ajaw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ajaw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ajawal"/>
        <scheme val="none"/>
      </font>
      <numFmt numFmtId="164" formatCode="0.0"/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ajawal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ajawal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ajawal"/>
        <scheme val="none"/>
      </font>
      <numFmt numFmtId="164" formatCode="0.0"/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ajawal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ajawal"/>
        <scheme val="none"/>
      </font>
      <fill>
        <patternFill patternType="solid">
          <fgColor indexed="64"/>
          <bgColor rgb="FF0986ED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CC4628-2315-45DC-9EC2-3DC972093EAC}" name="Table1" displayName="Table1" ref="C1:K6" totalsRowShown="0" headerRowDxfId="11" headerRowBorderDxfId="9" tableBorderDxfId="10">
  <autoFilter ref="C1:K6" xr:uid="{79CC4628-2315-45DC-9EC2-3DC972093EAC}"/>
  <tableColumns count="9">
    <tableColumn id="1" xr3:uid="{F41A5564-B914-4511-9CF6-8B8587AECEE5}" name="_x000a_Death" dataDxfId="8"/>
    <tableColumn id="2" xr3:uid="{07E058D1-E90E-4E63-8C0C-FEBF81A34B77}" name=" Percentage change of deads" dataDxfId="7">
      <calculatedColumnFormula>(C2-C3)/C3*100</calculatedColumnFormula>
    </tableColumn>
    <tableColumn id="3" xr3:uid="{549A1105-DFA7-4A09-9948-D66FC3152E22}" name="_x000a_Infected" dataDxfId="6"/>
    <tableColumn id="5" xr3:uid="{CF2D1874-87F0-4180-88DA-E2C8722CB20D}" name="Cruelty rate (Deceased / injured*100)" dataDxfId="5" dataCellStyle="Normal_المعدلات">
      <calculatedColumnFormula>C2/E2*100</calculatedColumnFormula>
    </tableColumn>
    <tableColumn id="4" xr3:uid="{C75AE868-97A1-4C27-A808-0BA5F596D648}" name="Percentage change of injuired" dataDxfId="4">
      <calculatedColumnFormula>(E2-E3)/E3*100</calculatedColumnFormula>
    </tableColumn>
    <tableColumn id="6" xr3:uid="{88F5CAB6-4564-4A96-8E74-42243998D6F4}" name="Accidents ENR and Others liability" dataDxfId="3"/>
    <tableColumn id="7" xr3:uid="{724DF103-BC5C-4362-A323-CB74FEF78E72}" name="number of passengers per million " dataDxfId="2"/>
    <tableColumn id="8" xr3:uid="{A54A8A46-C414-403C-B26B-077BA7FFAFD4}" name="ENR liability" dataDxfId="1" dataCellStyle="Ali"/>
    <tableColumn id="9" xr3:uid="{94E38C58-6680-4DF5-BC8B-FEF4750BFCE2}" name="Accidents to workers" dataDxfId="0" dataCellStyle="Al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12646-9C98-41BE-89CE-77C87AC6F90F}">
  <dimension ref="A1:H6"/>
  <sheetViews>
    <sheetView workbookViewId="0">
      <selection activeCell="A2" sqref="A2"/>
    </sheetView>
  </sheetViews>
  <sheetFormatPr defaultRowHeight="14.4"/>
  <cols>
    <col min="2" max="2" width="16.6640625" customWidth="1"/>
  </cols>
  <sheetData>
    <row r="1" spans="1:8" ht="138">
      <c r="A1" s="14" t="s">
        <v>356</v>
      </c>
      <c r="B1" s="17" t="s">
        <v>1</v>
      </c>
      <c r="C1" s="13" t="s">
        <v>355</v>
      </c>
      <c r="D1" s="17" t="s">
        <v>361</v>
      </c>
      <c r="E1" s="13" t="s">
        <v>359</v>
      </c>
      <c r="F1" s="13" t="s">
        <v>358</v>
      </c>
      <c r="G1" s="15" t="s">
        <v>0</v>
      </c>
      <c r="H1" s="13" t="s">
        <v>357</v>
      </c>
    </row>
    <row r="2" spans="1:8">
      <c r="A2" s="3">
        <v>2024</v>
      </c>
      <c r="B2" s="18">
        <v>106556174</v>
      </c>
      <c r="C2" s="4">
        <v>5260</v>
      </c>
      <c r="D2" s="21">
        <f>C2*100000/B2</f>
        <v>4.9363634246101968</v>
      </c>
      <c r="E2" s="6">
        <f>(C2-C3)/C3*100</f>
        <v>-10.254222828868793</v>
      </c>
      <c r="F2" s="3">
        <v>76362</v>
      </c>
      <c r="G2" s="163">
        <f>C2/F2</f>
        <v>6.8882428432990236E-2</v>
      </c>
      <c r="H2" s="6">
        <f>(F2-F3)/F3*100</f>
        <v>7.5278810408921943</v>
      </c>
    </row>
    <row r="3" spans="1:8">
      <c r="A3" s="3">
        <v>2023</v>
      </c>
      <c r="B3" s="19">
        <v>105174090</v>
      </c>
      <c r="C3" s="4">
        <v>5861</v>
      </c>
      <c r="D3" s="21">
        <f t="shared" ref="D3:D6" si="0">C3*100000/B3</f>
        <v>5.5726652828657706</v>
      </c>
      <c r="E3" s="6">
        <f t="shared" ref="E3:E4" si="1">(C3-C4)/C4*100</f>
        <v>-24.491110538520999</v>
      </c>
      <c r="F3" s="3">
        <v>71016</v>
      </c>
      <c r="G3" s="163">
        <f t="shared" ref="G3:G6" si="2">C3/F3</f>
        <v>8.2530697307648976E-2</v>
      </c>
      <c r="H3" s="6">
        <f>(F3-F4)/F4*100</f>
        <v>26.834669857655697</v>
      </c>
    </row>
    <row r="4" spans="1:8">
      <c r="A4" s="3">
        <v>2022</v>
      </c>
      <c r="B4" s="10">
        <v>103605039</v>
      </c>
      <c r="C4" s="4">
        <v>7762</v>
      </c>
      <c r="D4" s="21">
        <f t="shared" si="0"/>
        <v>7.4919135931216632</v>
      </c>
      <c r="E4" s="6">
        <f t="shared" si="1"/>
        <v>5.9514059514059507</v>
      </c>
      <c r="F4" s="3">
        <v>55991</v>
      </c>
      <c r="G4" s="163">
        <f>C4/F4</f>
        <v>0.13862942258577271</v>
      </c>
      <c r="H4" s="6">
        <f>(F4-F5)/F5*100</f>
        <v>8.6971714779367524</v>
      </c>
    </row>
    <row r="5" spans="1:8">
      <c r="A5" s="3">
        <v>2021</v>
      </c>
      <c r="B5" s="10">
        <v>102060688</v>
      </c>
      <c r="C5" s="4">
        <v>7326</v>
      </c>
      <c r="D5" s="21">
        <f t="shared" si="0"/>
        <v>7.1780821230599585</v>
      </c>
      <c r="E5" s="6">
        <f>(C5-C6)/C6*100</f>
        <v>18.582065393331177</v>
      </c>
      <c r="F5" s="3">
        <v>51511</v>
      </c>
      <c r="G5" s="163">
        <f t="shared" si="2"/>
        <v>0.14222204965929608</v>
      </c>
      <c r="H5" s="6">
        <f>(F5-F6)/F6*100</f>
        <v>-9.2940534258395111</v>
      </c>
    </row>
    <row r="6" spans="1:8">
      <c r="A6" s="11">
        <v>2020</v>
      </c>
      <c r="B6" s="20">
        <v>100604140</v>
      </c>
      <c r="C6" s="3">
        <v>6178</v>
      </c>
      <c r="D6" s="21">
        <f t="shared" si="0"/>
        <v>6.1409003645376821</v>
      </c>
      <c r="E6" s="5" t="s">
        <v>360</v>
      </c>
      <c r="F6" s="3">
        <v>56789</v>
      </c>
      <c r="G6" s="163">
        <f t="shared" si="2"/>
        <v>0.10878867386289598</v>
      </c>
      <c r="H6" s="9">
        <v>-28.9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D32A2-7A87-4127-8CB1-382F14B50C9E}">
  <dimension ref="A1:K6"/>
  <sheetViews>
    <sheetView zoomScale="75" workbookViewId="0">
      <selection activeCell="E33" sqref="E33"/>
    </sheetView>
  </sheetViews>
  <sheetFormatPr defaultRowHeight="14.4"/>
  <cols>
    <col min="1" max="1" width="9" bestFit="1" customWidth="1"/>
    <col min="2" max="2" width="16.5546875" customWidth="1"/>
    <col min="3" max="3" width="11.6640625" bestFit="1" customWidth="1"/>
    <col min="4" max="4" width="14.44140625" customWidth="1"/>
    <col min="5" max="7" width="9.109375" bestFit="1" customWidth="1"/>
    <col min="8" max="9" width="15.6640625" customWidth="1"/>
    <col min="10" max="10" width="9" bestFit="1" customWidth="1"/>
    <col min="11" max="11" width="17.33203125" customWidth="1"/>
    <col min="12" max="16" width="9" bestFit="1" customWidth="1"/>
    <col min="17" max="17" width="13.33203125" customWidth="1"/>
    <col min="18" max="18" width="9" bestFit="1" customWidth="1"/>
  </cols>
  <sheetData>
    <row r="1" spans="1:11" ht="82.8">
      <c r="A1" s="14" t="s">
        <v>356</v>
      </c>
      <c r="B1" s="17" t="s">
        <v>1</v>
      </c>
      <c r="C1" s="1" t="s">
        <v>355</v>
      </c>
      <c r="D1" s="1" t="s">
        <v>352</v>
      </c>
      <c r="E1" s="1" t="s">
        <v>354</v>
      </c>
      <c r="F1" s="15" t="s">
        <v>0</v>
      </c>
      <c r="G1" s="2" t="s">
        <v>353</v>
      </c>
      <c r="H1" s="138" t="s">
        <v>347</v>
      </c>
      <c r="I1" s="1" t="s">
        <v>348</v>
      </c>
      <c r="J1" s="138" t="s">
        <v>349</v>
      </c>
      <c r="K1" s="138" t="s">
        <v>350</v>
      </c>
    </row>
    <row r="2" spans="1:11">
      <c r="A2" s="3">
        <v>2024</v>
      </c>
      <c r="B2" s="18">
        <v>106556174</v>
      </c>
      <c r="C2" s="7">
        <v>57</v>
      </c>
      <c r="D2" s="6">
        <f>(C2-C3)/C3*100</f>
        <v>7.5471698113207548</v>
      </c>
      <c r="E2" s="3">
        <v>104</v>
      </c>
      <c r="F2" s="16">
        <f t="shared" ref="F2:F6" si="0">C2/E2*100</f>
        <v>54.807692307692314</v>
      </c>
      <c r="G2" s="8">
        <f>(E2-E3)/E3*100</f>
        <v>103.92156862745099</v>
      </c>
      <c r="H2" s="135">
        <v>220</v>
      </c>
      <c r="I2" s="139">
        <v>253</v>
      </c>
      <c r="J2" s="26">
        <v>53</v>
      </c>
      <c r="K2" s="26">
        <v>228</v>
      </c>
    </row>
    <row r="3" spans="1:11">
      <c r="A3" s="3">
        <v>2023</v>
      </c>
      <c r="B3" s="19">
        <v>105174090</v>
      </c>
      <c r="C3" s="10">
        <v>53</v>
      </c>
      <c r="D3" s="6">
        <f t="shared" ref="D3:D5" si="1">(C3-C4)/C4*100</f>
        <v>-87.073170731707322</v>
      </c>
      <c r="E3" s="10">
        <v>51</v>
      </c>
      <c r="F3" s="16">
        <f t="shared" si="0"/>
        <v>103.92156862745099</v>
      </c>
      <c r="G3" s="8">
        <f t="shared" ref="G3:G5" si="2">(E3-E4)/E4*100</f>
        <v>-90.794223826714799</v>
      </c>
      <c r="H3" s="136">
        <v>181</v>
      </c>
      <c r="I3" s="136">
        <v>251.1</v>
      </c>
      <c r="J3" s="29">
        <v>12</v>
      </c>
      <c r="K3" s="29">
        <v>242</v>
      </c>
    </row>
    <row r="4" spans="1:11">
      <c r="A4" s="3">
        <v>2022</v>
      </c>
      <c r="B4" s="10">
        <v>103605039</v>
      </c>
      <c r="C4" s="10">
        <v>410</v>
      </c>
      <c r="D4" s="6">
        <f t="shared" si="1"/>
        <v>1.2345679012345678</v>
      </c>
      <c r="E4" s="10">
        <v>554</v>
      </c>
      <c r="F4" s="16">
        <f t="shared" si="0"/>
        <v>74.007220216606498</v>
      </c>
      <c r="G4" s="8">
        <f t="shared" si="2"/>
        <v>-27.958387516254881</v>
      </c>
      <c r="H4" s="136">
        <v>831</v>
      </c>
      <c r="I4" s="136">
        <v>389.3</v>
      </c>
      <c r="J4" s="29">
        <v>26</v>
      </c>
      <c r="K4" s="29">
        <v>215</v>
      </c>
    </row>
    <row r="5" spans="1:11">
      <c r="A5" s="3">
        <v>2021</v>
      </c>
      <c r="B5" s="10">
        <v>102060688</v>
      </c>
      <c r="C5" s="4">
        <v>405</v>
      </c>
      <c r="D5" s="6">
        <f t="shared" si="1"/>
        <v>36.824324324324323</v>
      </c>
      <c r="E5" s="3">
        <v>769</v>
      </c>
      <c r="F5" s="16">
        <f t="shared" si="0"/>
        <v>52.665799739921979</v>
      </c>
      <c r="G5" s="8">
        <f t="shared" si="2"/>
        <v>46.476190476190474</v>
      </c>
      <c r="H5" s="136">
        <v>738</v>
      </c>
      <c r="I5" s="136">
        <v>253.7</v>
      </c>
      <c r="J5" s="29">
        <v>45</v>
      </c>
      <c r="K5" s="29">
        <v>240</v>
      </c>
    </row>
    <row r="6" spans="1:11">
      <c r="A6" s="11">
        <v>2020</v>
      </c>
      <c r="B6" s="20">
        <v>100604140</v>
      </c>
      <c r="C6" s="12">
        <v>296</v>
      </c>
      <c r="D6" s="6">
        <v>-43.6</v>
      </c>
      <c r="E6" s="10">
        <v>525</v>
      </c>
      <c r="F6" s="16">
        <f t="shared" si="0"/>
        <v>56.38095238095238</v>
      </c>
      <c r="G6" s="8">
        <v>-40.9</v>
      </c>
      <c r="H6" s="137">
        <v>655</v>
      </c>
      <c r="I6" s="140" t="s">
        <v>351</v>
      </c>
      <c r="J6" s="32">
        <v>37</v>
      </c>
      <c r="K6" s="32">
        <v>243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AB5C2-1364-4677-B350-04F0AA8DC5E0}">
  <dimension ref="A1:R30"/>
  <sheetViews>
    <sheetView zoomScale="76" workbookViewId="0">
      <selection activeCell="H9" sqref="H9"/>
    </sheetView>
  </sheetViews>
  <sheetFormatPr defaultRowHeight="14.4"/>
  <cols>
    <col min="19" max="19" width="17.33203125" customWidth="1"/>
    <col min="20" max="20" width="13.88671875" customWidth="1"/>
    <col min="21" max="21" width="14.5546875" customWidth="1"/>
    <col min="22" max="22" width="20.77734375" customWidth="1"/>
    <col min="23" max="23" width="13.21875" customWidth="1"/>
    <col min="24" max="24" width="16.109375" customWidth="1"/>
  </cols>
  <sheetData>
    <row r="1" spans="1:16" ht="27.6">
      <c r="A1" s="22" t="s">
        <v>2</v>
      </c>
      <c r="B1" s="22" t="s">
        <v>3</v>
      </c>
      <c r="C1" s="22" t="s">
        <v>4</v>
      </c>
      <c r="D1" s="22" t="s">
        <v>5</v>
      </c>
      <c r="E1" s="22" t="s">
        <v>6</v>
      </c>
      <c r="F1" s="22" t="s">
        <v>7</v>
      </c>
      <c r="G1" s="22" t="s">
        <v>8</v>
      </c>
      <c r="H1" s="22" t="s">
        <v>9</v>
      </c>
      <c r="I1" s="22" t="s">
        <v>10</v>
      </c>
      <c r="J1" s="22" t="s">
        <v>11</v>
      </c>
      <c r="K1" s="22" t="s">
        <v>12</v>
      </c>
      <c r="L1" s="22" t="s">
        <v>13</v>
      </c>
      <c r="M1" s="34" t="s">
        <v>54</v>
      </c>
      <c r="N1" s="22" t="s">
        <v>55</v>
      </c>
      <c r="O1" s="22" t="s">
        <v>14</v>
      </c>
      <c r="P1" s="22" t="s">
        <v>363</v>
      </c>
    </row>
    <row r="2" spans="1:16" ht="14.4" customHeight="1">
      <c r="A2" s="23">
        <v>407</v>
      </c>
      <c r="B2" s="23">
        <v>394</v>
      </c>
      <c r="C2" s="23">
        <v>491</v>
      </c>
      <c r="D2" s="23">
        <v>527</v>
      </c>
      <c r="E2" s="23">
        <v>410</v>
      </c>
      <c r="F2" s="23">
        <v>471</v>
      </c>
      <c r="G2" s="23">
        <v>442</v>
      </c>
      <c r="H2" s="23">
        <v>444</v>
      </c>
      <c r="I2" s="23">
        <v>420</v>
      </c>
      <c r="J2" s="23">
        <v>439</v>
      </c>
      <c r="K2" s="23">
        <v>384</v>
      </c>
      <c r="L2" s="23">
        <v>431</v>
      </c>
      <c r="M2" s="23">
        <v>4397</v>
      </c>
      <c r="N2" s="23">
        <v>863</v>
      </c>
      <c r="O2" s="23">
        <v>5260</v>
      </c>
      <c r="P2" s="24" t="s">
        <v>14</v>
      </c>
    </row>
    <row r="3" spans="1:16">
      <c r="A3" s="26">
        <v>63</v>
      </c>
      <c r="B3" s="26">
        <v>59</v>
      </c>
      <c r="C3" s="26">
        <v>73</v>
      </c>
      <c r="D3" s="26">
        <v>69</v>
      </c>
      <c r="E3" s="26">
        <v>69</v>
      </c>
      <c r="F3" s="26">
        <v>48</v>
      </c>
      <c r="G3" s="26">
        <v>63</v>
      </c>
      <c r="H3" s="26">
        <v>66</v>
      </c>
      <c r="I3" s="26">
        <v>55</v>
      </c>
      <c r="J3" s="26">
        <v>73</v>
      </c>
      <c r="K3" s="26">
        <v>68</v>
      </c>
      <c r="L3" s="26">
        <v>60</v>
      </c>
      <c r="M3" s="26">
        <v>634</v>
      </c>
      <c r="N3" s="26">
        <v>132</v>
      </c>
      <c r="O3" s="27">
        <v>766</v>
      </c>
      <c r="P3" s="25" t="s">
        <v>15</v>
      </c>
    </row>
    <row r="4" spans="1:16">
      <c r="A4" s="29">
        <v>18</v>
      </c>
      <c r="B4" s="29">
        <v>20</v>
      </c>
      <c r="C4" s="29">
        <v>39</v>
      </c>
      <c r="D4" s="29">
        <v>48</v>
      </c>
      <c r="E4" s="29">
        <v>26</v>
      </c>
      <c r="F4" s="29">
        <v>25</v>
      </c>
      <c r="G4" s="29">
        <v>19</v>
      </c>
      <c r="H4" s="29">
        <v>39</v>
      </c>
      <c r="I4" s="29">
        <v>41</v>
      </c>
      <c r="J4" s="29">
        <v>34</v>
      </c>
      <c r="K4" s="29">
        <v>33</v>
      </c>
      <c r="L4" s="29">
        <v>40</v>
      </c>
      <c r="M4" s="29">
        <v>321</v>
      </c>
      <c r="N4" s="29">
        <v>61</v>
      </c>
      <c r="O4" s="30">
        <v>382</v>
      </c>
      <c r="P4" s="28" t="s">
        <v>16</v>
      </c>
    </row>
    <row r="5" spans="1:16">
      <c r="A5" s="29">
        <v>1</v>
      </c>
      <c r="B5" s="29">
        <v>1</v>
      </c>
      <c r="C5" s="29">
        <v>5</v>
      </c>
      <c r="D5" s="29">
        <v>6</v>
      </c>
      <c r="E5" s="29">
        <v>3</v>
      </c>
      <c r="F5" s="29">
        <v>3</v>
      </c>
      <c r="G5" s="29">
        <v>0</v>
      </c>
      <c r="H5" s="29">
        <v>2</v>
      </c>
      <c r="I5" s="29">
        <v>3</v>
      </c>
      <c r="J5" s="29">
        <v>1</v>
      </c>
      <c r="K5" s="29">
        <v>1</v>
      </c>
      <c r="L5" s="29">
        <v>2</v>
      </c>
      <c r="M5" s="29">
        <v>24</v>
      </c>
      <c r="N5" s="29">
        <v>4</v>
      </c>
      <c r="O5" s="30">
        <v>28</v>
      </c>
      <c r="P5" s="28" t="s">
        <v>17</v>
      </c>
    </row>
    <row r="6" spans="1:16">
      <c r="A6" s="29">
        <v>0</v>
      </c>
      <c r="B6" s="29">
        <v>0</v>
      </c>
      <c r="C6" s="29">
        <v>2</v>
      </c>
      <c r="D6" s="29">
        <v>1</v>
      </c>
      <c r="E6" s="29">
        <v>0</v>
      </c>
      <c r="F6" s="29">
        <v>2</v>
      </c>
      <c r="G6" s="29">
        <v>0</v>
      </c>
      <c r="H6" s="29">
        <v>0</v>
      </c>
      <c r="I6" s="29">
        <v>0</v>
      </c>
      <c r="J6" s="29">
        <v>0</v>
      </c>
      <c r="K6" s="29">
        <v>1</v>
      </c>
      <c r="L6" s="29">
        <v>0</v>
      </c>
      <c r="M6" s="29">
        <v>6</v>
      </c>
      <c r="N6" s="29">
        <v>0</v>
      </c>
      <c r="O6" s="30">
        <v>6</v>
      </c>
      <c r="P6" s="28" t="s">
        <v>19</v>
      </c>
    </row>
    <row r="7" spans="1:16">
      <c r="A7" s="29">
        <v>23</v>
      </c>
      <c r="B7" s="29">
        <v>25</v>
      </c>
      <c r="C7" s="29">
        <v>37</v>
      </c>
      <c r="D7" s="29">
        <v>26</v>
      </c>
      <c r="E7" s="29">
        <v>16</v>
      </c>
      <c r="F7" s="29">
        <v>26</v>
      </c>
      <c r="G7" s="29">
        <v>36</v>
      </c>
      <c r="H7" s="29">
        <v>16</v>
      </c>
      <c r="I7" s="29">
        <v>15</v>
      </c>
      <c r="J7" s="29">
        <v>21</v>
      </c>
      <c r="K7" s="29">
        <v>20</v>
      </c>
      <c r="L7" s="29">
        <v>25</v>
      </c>
      <c r="M7" s="29">
        <v>234</v>
      </c>
      <c r="N7" s="29">
        <v>52</v>
      </c>
      <c r="O7" s="30">
        <v>286</v>
      </c>
      <c r="P7" s="28" t="s">
        <v>20</v>
      </c>
    </row>
    <row r="8" spans="1:16">
      <c r="A8" s="29">
        <v>15</v>
      </c>
      <c r="B8" s="29">
        <v>10</v>
      </c>
      <c r="C8" s="29">
        <v>20</v>
      </c>
      <c r="D8" s="29">
        <v>14</v>
      </c>
      <c r="E8" s="29">
        <v>11</v>
      </c>
      <c r="F8" s="29">
        <v>19</v>
      </c>
      <c r="G8" s="29">
        <v>18</v>
      </c>
      <c r="H8" s="29">
        <v>12</v>
      </c>
      <c r="I8" s="29">
        <v>15</v>
      </c>
      <c r="J8" s="29">
        <v>11</v>
      </c>
      <c r="K8" s="29">
        <v>25</v>
      </c>
      <c r="L8" s="29">
        <v>16</v>
      </c>
      <c r="M8" s="29">
        <v>156</v>
      </c>
      <c r="N8" s="29">
        <v>30</v>
      </c>
      <c r="O8" s="30">
        <v>186</v>
      </c>
      <c r="P8" s="28" t="s">
        <v>22</v>
      </c>
    </row>
    <row r="9" spans="1:16">
      <c r="A9" s="29">
        <v>24</v>
      </c>
      <c r="B9" s="29">
        <v>29</v>
      </c>
      <c r="C9" s="29">
        <v>34</v>
      </c>
      <c r="D9" s="29">
        <v>27</v>
      </c>
      <c r="E9" s="29">
        <v>25</v>
      </c>
      <c r="F9" s="29">
        <v>46</v>
      </c>
      <c r="G9" s="29">
        <v>28</v>
      </c>
      <c r="H9" s="29">
        <v>35</v>
      </c>
      <c r="I9" s="29">
        <v>31</v>
      </c>
      <c r="J9" s="29">
        <v>22</v>
      </c>
      <c r="K9" s="29">
        <v>20</v>
      </c>
      <c r="L9" s="29">
        <v>29</v>
      </c>
      <c r="M9" s="29">
        <v>297</v>
      </c>
      <c r="N9" s="29">
        <v>53</v>
      </c>
      <c r="O9" s="30">
        <v>350</v>
      </c>
      <c r="P9" s="28" t="s">
        <v>23</v>
      </c>
    </row>
    <row r="10" spans="1:16">
      <c r="A10" s="29">
        <v>9</v>
      </c>
      <c r="B10" s="29">
        <v>5</v>
      </c>
      <c r="C10" s="29">
        <v>11</v>
      </c>
      <c r="D10" s="29">
        <v>16</v>
      </c>
      <c r="E10" s="29">
        <v>9</v>
      </c>
      <c r="F10" s="29">
        <v>9</v>
      </c>
      <c r="G10" s="29">
        <v>8</v>
      </c>
      <c r="H10" s="29">
        <v>12</v>
      </c>
      <c r="I10" s="29">
        <v>16</v>
      </c>
      <c r="J10" s="29">
        <v>6</v>
      </c>
      <c r="K10" s="29">
        <v>11</v>
      </c>
      <c r="L10" s="29">
        <v>24</v>
      </c>
      <c r="M10" s="29">
        <v>115</v>
      </c>
      <c r="N10" s="29">
        <v>21</v>
      </c>
      <c r="O10" s="30">
        <v>136</v>
      </c>
      <c r="P10" s="28" t="s">
        <v>24</v>
      </c>
    </row>
    <row r="11" spans="1:16">
      <c r="A11" s="29">
        <v>17</v>
      </c>
      <c r="B11" s="29">
        <v>26</v>
      </c>
      <c r="C11" s="29">
        <v>29</v>
      </c>
      <c r="D11" s="29">
        <v>18</v>
      </c>
      <c r="E11" s="29">
        <v>18</v>
      </c>
      <c r="F11" s="29">
        <v>14</v>
      </c>
      <c r="G11" s="29">
        <v>14</v>
      </c>
      <c r="H11" s="29">
        <v>17</v>
      </c>
      <c r="I11" s="29">
        <v>23</v>
      </c>
      <c r="J11" s="29">
        <v>19</v>
      </c>
      <c r="K11" s="29">
        <v>10</v>
      </c>
      <c r="L11" s="29">
        <v>13</v>
      </c>
      <c r="M11" s="29">
        <v>176</v>
      </c>
      <c r="N11" s="29">
        <v>42</v>
      </c>
      <c r="O11" s="30">
        <v>218</v>
      </c>
      <c r="P11" s="28" t="s">
        <v>25</v>
      </c>
    </row>
    <row r="12" spans="1:16">
      <c r="A12" s="29">
        <v>5</v>
      </c>
      <c r="B12" s="29">
        <v>4</v>
      </c>
      <c r="C12" s="29">
        <v>0</v>
      </c>
      <c r="D12" s="29">
        <v>4</v>
      </c>
      <c r="E12" s="29">
        <v>11</v>
      </c>
      <c r="F12" s="29">
        <v>3</v>
      </c>
      <c r="G12" s="29">
        <v>5</v>
      </c>
      <c r="H12" s="29">
        <v>7</v>
      </c>
      <c r="I12" s="29">
        <v>2</v>
      </c>
      <c r="J12" s="29">
        <v>1</v>
      </c>
      <c r="K12" s="29">
        <v>3</v>
      </c>
      <c r="L12" s="29">
        <v>5</v>
      </c>
      <c r="M12" s="29">
        <v>43</v>
      </c>
      <c r="N12" s="29">
        <v>7</v>
      </c>
      <c r="O12" s="30">
        <v>50</v>
      </c>
      <c r="P12" s="28" t="s">
        <v>27</v>
      </c>
    </row>
    <row r="13" spans="1:16">
      <c r="A13" s="29">
        <v>19</v>
      </c>
      <c r="B13" s="29">
        <v>16</v>
      </c>
      <c r="C13" s="29">
        <v>15</v>
      </c>
      <c r="D13" s="29">
        <v>33</v>
      </c>
      <c r="E13" s="29">
        <v>27</v>
      </c>
      <c r="F13" s="29">
        <v>25</v>
      </c>
      <c r="G13" s="29">
        <v>17</v>
      </c>
      <c r="H13" s="29">
        <v>11</v>
      </c>
      <c r="I13" s="29">
        <v>20</v>
      </c>
      <c r="J13" s="29">
        <v>26</v>
      </c>
      <c r="K13" s="29">
        <v>18</v>
      </c>
      <c r="L13" s="29">
        <v>18</v>
      </c>
      <c r="M13" s="29">
        <v>204</v>
      </c>
      <c r="N13" s="29">
        <v>41</v>
      </c>
      <c r="O13" s="30">
        <v>245</v>
      </c>
      <c r="P13" s="28" t="s">
        <v>28</v>
      </c>
    </row>
    <row r="14" spans="1:16">
      <c r="A14" s="29">
        <v>26</v>
      </c>
      <c r="B14" s="29">
        <v>31</v>
      </c>
      <c r="C14" s="29">
        <v>33</v>
      </c>
      <c r="D14" s="29">
        <v>28</v>
      </c>
      <c r="E14" s="29">
        <v>22</v>
      </c>
      <c r="F14" s="29">
        <v>15</v>
      </c>
      <c r="G14" s="29">
        <v>22</v>
      </c>
      <c r="H14" s="29">
        <v>18</v>
      </c>
      <c r="I14" s="29">
        <v>23</v>
      </c>
      <c r="J14" s="29">
        <v>22</v>
      </c>
      <c r="K14" s="29">
        <v>22</v>
      </c>
      <c r="L14" s="29">
        <v>15</v>
      </c>
      <c r="M14" s="29">
        <v>240</v>
      </c>
      <c r="N14" s="29">
        <v>37</v>
      </c>
      <c r="O14" s="30">
        <v>277</v>
      </c>
      <c r="P14" s="28" t="s">
        <v>29</v>
      </c>
    </row>
    <row r="15" spans="1:16">
      <c r="A15" s="29">
        <v>48</v>
      </c>
      <c r="B15" s="29">
        <v>49</v>
      </c>
      <c r="C15" s="29">
        <v>57</v>
      </c>
      <c r="D15" s="29">
        <v>64</v>
      </c>
      <c r="E15" s="29">
        <v>40</v>
      </c>
      <c r="F15" s="29">
        <v>61</v>
      </c>
      <c r="G15" s="29">
        <v>59</v>
      </c>
      <c r="H15" s="29">
        <v>45</v>
      </c>
      <c r="I15" s="29">
        <v>47</v>
      </c>
      <c r="J15" s="29">
        <v>52</v>
      </c>
      <c r="K15" s="29">
        <v>28</v>
      </c>
      <c r="L15" s="29">
        <v>54</v>
      </c>
      <c r="M15" s="29">
        <v>498</v>
      </c>
      <c r="N15" s="29">
        <v>106</v>
      </c>
      <c r="O15" s="30">
        <v>604</v>
      </c>
      <c r="P15" s="28" t="s">
        <v>30</v>
      </c>
    </row>
    <row r="16" spans="1:16">
      <c r="A16" s="29">
        <v>35</v>
      </c>
      <c r="B16" s="29">
        <v>26</v>
      </c>
      <c r="C16" s="29">
        <v>38</v>
      </c>
      <c r="D16" s="29">
        <v>41</v>
      </c>
      <c r="E16" s="29">
        <v>35</v>
      </c>
      <c r="F16" s="29">
        <v>39</v>
      </c>
      <c r="G16" s="29">
        <v>40</v>
      </c>
      <c r="H16" s="29">
        <v>10</v>
      </c>
      <c r="I16" s="29">
        <v>28</v>
      </c>
      <c r="J16" s="29">
        <v>29</v>
      </c>
      <c r="K16" s="29">
        <v>22</v>
      </c>
      <c r="L16" s="29">
        <v>22</v>
      </c>
      <c r="M16" s="29">
        <v>295</v>
      </c>
      <c r="N16" s="29">
        <v>70</v>
      </c>
      <c r="O16" s="30">
        <v>365</v>
      </c>
      <c r="P16" s="28" t="s">
        <v>31</v>
      </c>
    </row>
    <row r="17" spans="1:18">
      <c r="A17" s="29">
        <v>8</v>
      </c>
      <c r="B17" s="29">
        <v>2</v>
      </c>
      <c r="C17" s="29">
        <v>3</v>
      </c>
      <c r="D17" s="29">
        <v>9</v>
      </c>
      <c r="E17" s="29">
        <v>5</v>
      </c>
      <c r="F17" s="29">
        <v>5</v>
      </c>
      <c r="G17" s="29">
        <v>6</v>
      </c>
      <c r="H17" s="29">
        <v>2</v>
      </c>
      <c r="I17" s="29">
        <v>6</v>
      </c>
      <c r="J17" s="29">
        <v>3</v>
      </c>
      <c r="K17" s="29">
        <v>9</v>
      </c>
      <c r="L17" s="29">
        <v>2</v>
      </c>
      <c r="M17" s="29">
        <v>52</v>
      </c>
      <c r="N17" s="29">
        <v>8</v>
      </c>
      <c r="O17" s="30">
        <v>60</v>
      </c>
      <c r="P17" s="28" t="s">
        <v>32</v>
      </c>
    </row>
    <row r="18" spans="1:18">
      <c r="A18" s="29">
        <v>8</v>
      </c>
      <c r="B18" s="29">
        <v>4</v>
      </c>
      <c r="C18" s="29">
        <v>5</v>
      </c>
      <c r="D18" s="29">
        <v>5</v>
      </c>
      <c r="E18" s="29">
        <v>9</v>
      </c>
      <c r="F18" s="29">
        <v>6</v>
      </c>
      <c r="G18" s="29">
        <v>5</v>
      </c>
      <c r="H18" s="29">
        <v>18</v>
      </c>
      <c r="I18" s="29">
        <v>10</v>
      </c>
      <c r="J18" s="29">
        <v>11</v>
      </c>
      <c r="K18" s="29">
        <v>10</v>
      </c>
      <c r="L18" s="29">
        <v>8</v>
      </c>
      <c r="M18" s="29">
        <v>83</v>
      </c>
      <c r="N18" s="29">
        <v>16</v>
      </c>
      <c r="O18" s="30">
        <v>99</v>
      </c>
      <c r="P18" s="28" t="s">
        <v>34</v>
      </c>
    </row>
    <row r="19" spans="1:18">
      <c r="A19" s="29">
        <v>12</v>
      </c>
      <c r="B19" s="29">
        <v>19</v>
      </c>
      <c r="C19" s="29">
        <v>16</v>
      </c>
      <c r="D19" s="29">
        <v>38</v>
      </c>
      <c r="E19" s="29">
        <v>29</v>
      </c>
      <c r="F19" s="29">
        <v>42</v>
      </c>
      <c r="G19" s="29">
        <v>27</v>
      </c>
      <c r="H19" s="29">
        <v>15</v>
      </c>
      <c r="I19" s="29">
        <v>30</v>
      </c>
      <c r="J19" s="29">
        <v>24</v>
      </c>
      <c r="K19" s="29">
        <v>11</v>
      </c>
      <c r="L19" s="29">
        <v>25</v>
      </c>
      <c r="M19" s="29">
        <v>242</v>
      </c>
      <c r="N19" s="29">
        <v>46</v>
      </c>
      <c r="O19" s="30">
        <v>288</v>
      </c>
      <c r="P19" s="28" t="s">
        <v>36</v>
      </c>
    </row>
    <row r="20" spans="1:18">
      <c r="A20" s="29">
        <v>9</v>
      </c>
      <c r="B20" s="29">
        <v>8</v>
      </c>
      <c r="C20" s="29">
        <v>13</v>
      </c>
      <c r="D20" s="29">
        <v>7</v>
      </c>
      <c r="E20" s="29">
        <v>3</v>
      </c>
      <c r="F20" s="29">
        <v>8</v>
      </c>
      <c r="G20" s="29">
        <v>3</v>
      </c>
      <c r="H20" s="29">
        <v>5</v>
      </c>
      <c r="I20" s="29">
        <v>15</v>
      </c>
      <c r="J20" s="29">
        <v>14</v>
      </c>
      <c r="K20" s="29">
        <v>7</v>
      </c>
      <c r="L20" s="29">
        <v>19</v>
      </c>
      <c r="M20" s="29">
        <v>95</v>
      </c>
      <c r="N20" s="29">
        <v>16</v>
      </c>
      <c r="O20" s="30">
        <v>111</v>
      </c>
      <c r="P20" s="28" t="s">
        <v>37</v>
      </c>
    </row>
    <row r="21" spans="1:18">
      <c r="A21" s="29">
        <v>13</v>
      </c>
      <c r="B21" s="29">
        <v>10</v>
      </c>
      <c r="C21" s="29">
        <v>6</v>
      </c>
      <c r="D21" s="29">
        <v>9</v>
      </c>
      <c r="E21" s="29">
        <v>7</v>
      </c>
      <c r="F21" s="29">
        <v>10</v>
      </c>
      <c r="G21" s="29">
        <v>8</v>
      </c>
      <c r="H21" s="29">
        <v>10</v>
      </c>
      <c r="I21" s="29">
        <v>4</v>
      </c>
      <c r="J21" s="29">
        <v>7</v>
      </c>
      <c r="K21" s="29">
        <v>13</v>
      </c>
      <c r="L21" s="29">
        <v>13</v>
      </c>
      <c r="M21" s="29">
        <v>88</v>
      </c>
      <c r="N21" s="29">
        <v>22</v>
      </c>
      <c r="O21" s="30">
        <v>110</v>
      </c>
      <c r="P21" s="28" t="s">
        <v>39</v>
      </c>
    </row>
    <row r="22" spans="1:18">
      <c r="A22" s="29">
        <v>4</v>
      </c>
      <c r="B22" s="29">
        <v>4</v>
      </c>
      <c r="C22" s="29">
        <v>8</v>
      </c>
      <c r="D22" s="29">
        <v>12</v>
      </c>
      <c r="E22" s="29">
        <v>2</v>
      </c>
      <c r="F22" s="29">
        <v>3</v>
      </c>
      <c r="G22" s="29">
        <v>3</v>
      </c>
      <c r="H22" s="29">
        <v>5</v>
      </c>
      <c r="I22" s="29">
        <v>1</v>
      </c>
      <c r="J22" s="29">
        <v>5</v>
      </c>
      <c r="K22" s="29">
        <v>9</v>
      </c>
      <c r="L22" s="29">
        <v>5</v>
      </c>
      <c r="M22" s="29">
        <v>52</v>
      </c>
      <c r="N22" s="29">
        <v>9</v>
      </c>
      <c r="O22" s="30">
        <v>61</v>
      </c>
      <c r="P22" s="28" t="s">
        <v>41</v>
      </c>
    </row>
    <row r="23" spans="1:18">
      <c r="A23" s="29">
        <v>19</v>
      </c>
      <c r="B23" s="29">
        <v>23</v>
      </c>
      <c r="C23" s="29">
        <v>17</v>
      </c>
      <c r="D23" s="29">
        <v>12</v>
      </c>
      <c r="E23" s="29">
        <v>9</v>
      </c>
      <c r="F23" s="29">
        <v>13</v>
      </c>
      <c r="G23" s="29">
        <v>12</v>
      </c>
      <c r="H23" s="29">
        <v>20</v>
      </c>
      <c r="I23" s="29">
        <v>14</v>
      </c>
      <c r="J23" s="29">
        <v>18</v>
      </c>
      <c r="K23" s="29">
        <v>10</v>
      </c>
      <c r="L23" s="29">
        <v>10</v>
      </c>
      <c r="M23" s="29">
        <v>151</v>
      </c>
      <c r="N23" s="29">
        <v>26</v>
      </c>
      <c r="O23" s="30">
        <v>177</v>
      </c>
      <c r="P23" s="28" t="s">
        <v>42</v>
      </c>
    </row>
    <row r="24" spans="1:18">
      <c r="A24" s="29">
        <v>3</v>
      </c>
      <c r="B24" s="29">
        <v>4</v>
      </c>
      <c r="C24" s="29">
        <v>5</v>
      </c>
      <c r="D24" s="29">
        <v>1</v>
      </c>
      <c r="E24" s="29">
        <v>0</v>
      </c>
      <c r="F24" s="29">
        <v>1</v>
      </c>
      <c r="G24" s="29">
        <v>0</v>
      </c>
      <c r="H24" s="29">
        <v>0</v>
      </c>
      <c r="I24" s="29">
        <v>0</v>
      </c>
      <c r="J24" s="29">
        <v>1</v>
      </c>
      <c r="K24" s="29">
        <v>3</v>
      </c>
      <c r="L24" s="29">
        <v>0</v>
      </c>
      <c r="M24" s="29">
        <v>15</v>
      </c>
      <c r="N24" s="29">
        <v>3</v>
      </c>
      <c r="O24" s="30">
        <v>18</v>
      </c>
      <c r="P24" s="28" t="s">
        <v>43</v>
      </c>
    </row>
    <row r="25" spans="1:18">
      <c r="A25" s="29">
        <v>15</v>
      </c>
      <c r="B25" s="29">
        <v>11</v>
      </c>
      <c r="C25" s="29">
        <v>15</v>
      </c>
      <c r="D25" s="29">
        <v>17</v>
      </c>
      <c r="E25" s="29">
        <v>17</v>
      </c>
      <c r="F25" s="29">
        <v>38</v>
      </c>
      <c r="G25" s="29">
        <v>36</v>
      </c>
      <c r="H25" s="29">
        <v>63</v>
      </c>
      <c r="I25" s="29">
        <v>12</v>
      </c>
      <c r="J25" s="29">
        <v>21</v>
      </c>
      <c r="K25" s="29">
        <v>15</v>
      </c>
      <c r="L25" s="29">
        <v>15</v>
      </c>
      <c r="M25" s="29">
        <v>232</v>
      </c>
      <c r="N25" s="29">
        <v>43</v>
      </c>
      <c r="O25" s="30">
        <v>275</v>
      </c>
      <c r="P25" s="28" t="s">
        <v>45</v>
      </c>
    </row>
    <row r="26" spans="1:18">
      <c r="A26" s="29">
        <v>7</v>
      </c>
      <c r="B26" s="29">
        <v>4</v>
      </c>
      <c r="C26" s="29">
        <v>5</v>
      </c>
      <c r="D26" s="29">
        <v>2</v>
      </c>
      <c r="E26" s="29">
        <v>12</v>
      </c>
      <c r="F26" s="29">
        <v>2</v>
      </c>
      <c r="G26" s="29">
        <v>2</v>
      </c>
      <c r="H26" s="29">
        <v>5</v>
      </c>
      <c r="I26" s="29">
        <v>0</v>
      </c>
      <c r="J26" s="29">
        <v>5</v>
      </c>
      <c r="K26" s="29">
        <v>8</v>
      </c>
      <c r="L26" s="29">
        <v>5</v>
      </c>
      <c r="M26" s="29">
        <v>53</v>
      </c>
      <c r="N26" s="29">
        <v>4</v>
      </c>
      <c r="O26" s="30">
        <v>57</v>
      </c>
      <c r="P26" s="28" t="s">
        <v>47</v>
      </c>
    </row>
    <row r="27" spans="1:18">
      <c r="A27" s="29">
        <v>3</v>
      </c>
      <c r="B27" s="29">
        <v>2</v>
      </c>
      <c r="C27" s="29">
        <v>5</v>
      </c>
      <c r="D27" s="29">
        <v>10</v>
      </c>
      <c r="E27" s="29">
        <v>0</v>
      </c>
      <c r="F27" s="29">
        <v>2</v>
      </c>
      <c r="G27" s="29">
        <v>5</v>
      </c>
      <c r="H27" s="29">
        <v>4</v>
      </c>
      <c r="I27" s="29">
        <v>4</v>
      </c>
      <c r="J27" s="29">
        <v>6</v>
      </c>
      <c r="K27" s="29">
        <v>4</v>
      </c>
      <c r="L27" s="29">
        <v>2</v>
      </c>
      <c r="M27" s="29">
        <v>45</v>
      </c>
      <c r="N27" s="29">
        <v>2</v>
      </c>
      <c r="O27" s="30">
        <v>47</v>
      </c>
      <c r="P27" s="28" t="s">
        <v>48</v>
      </c>
    </row>
    <row r="28" spans="1:18">
      <c r="A28" s="29">
        <v>0</v>
      </c>
      <c r="B28" s="29">
        <v>0</v>
      </c>
      <c r="C28" s="29">
        <v>0</v>
      </c>
      <c r="D28" s="29">
        <v>1</v>
      </c>
      <c r="E28" s="29">
        <v>1</v>
      </c>
      <c r="F28" s="29">
        <v>1</v>
      </c>
      <c r="G28" s="29">
        <v>2</v>
      </c>
      <c r="H28" s="29">
        <v>1</v>
      </c>
      <c r="I28" s="29">
        <v>0</v>
      </c>
      <c r="J28" s="29">
        <v>0</v>
      </c>
      <c r="K28" s="29">
        <v>0</v>
      </c>
      <c r="L28" s="29">
        <v>1</v>
      </c>
      <c r="M28" s="29">
        <v>6</v>
      </c>
      <c r="N28" s="29">
        <v>1</v>
      </c>
      <c r="O28" s="30">
        <v>7</v>
      </c>
      <c r="P28" s="28" t="s">
        <v>49</v>
      </c>
    </row>
    <row r="29" spans="1:18">
      <c r="A29" s="32">
        <v>3</v>
      </c>
      <c r="B29" s="32">
        <v>2</v>
      </c>
      <c r="C29" s="32">
        <v>0</v>
      </c>
      <c r="D29" s="32">
        <v>9</v>
      </c>
      <c r="E29" s="32">
        <v>4</v>
      </c>
      <c r="F29" s="32">
        <v>5</v>
      </c>
      <c r="G29" s="32">
        <v>4</v>
      </c>
      <c r="H29" s="32">
        <v>6</v>
      </c>
      <c r="I29" s="32">
        <v>5</v>
      </c>
      <c r="J29" s="32">
        <v>7</v>
      </c>
      <c r="K29" s="32">
        <v>3</v>
      </c>
      <c r="L29" s="32">
        <v>3</v>
      </c>
      <c r="M29" s="32">
        <v>40</v>
      </c>
      <c r="N29" s="32">
        <v>11</v>
      </c>
      <c r="O29" s="33">
        <v>51</v>
      </c>
      <c r="P29" s="31" t="s">
        <v>51</v>
      </c>
    </row>
    <row r="30" spans="1:18">
      <c r="R30" s="5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7DC63-29AD-4F11-A8A6-DF1256D5534B}">
  <dimension ref="A1:H29"/>
  <sheetViews>
    <sheetView workbookViewId="0">
      <selection activeCell="I3" sqref="I3"/>
    </sheetView>
  </sheetViews>
  <sheetFormatPr defaultRowHeight="14.4"/>
  <cols>
    <col min="3" max="3" width="19.33203125" customWidth="1"/>
    <col min="4" max="4" width="22.109375" customWidth="1"/>
    <col min="5" max="5" width="22.33203125" customWidth="1"/>
  </cols>
  <sheetData>
    <row r="1" spans="1:8">
      <c r="A1" t="s">
        <v>82</v>
      </c>
      <c r="B1" t="s">
        <v>81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364</v>
      </c>
    </row>
    <row r="2" spans="1:8">
      <c r="A2" s="43">
        <f>SUM(A3:A29)</f>
        <v>1767</v>
      </c>
      <c r="B2" s="43">
        <f>SUM(B3:B29)</f>
        <v>3263</v>
      </c>
      <c r="C2" s="39">
        <f>SUM(C3:C29)</f>
        <v>54759749</v>
      </c>
      <c r="D2" s="39">
        <f>SUM(D3:D29)</f>
        <v>51796425</v>
      </c>
      <c r="E2" s="164">
        <f>SUM(C2,D2)</f>
        <v>106556174</v>
      </c>
      <c r="F2" s="45">
        <f>A2/E2*100000</f>
        <v>1.6582802607008016</v>
      </c>
      <c r="G2" s="45">
        <f>B2/E2*25000</f>
        <v>0.76555864327486078</v>
      </c>
      <c r="H2" t="s">
        <v>14</v>
      </c>
    </row>
    <row r="3" spans="1:8">
      <c r="A3" s="46">
        <v>160</v>
      </c>
      <c r="B3" s="46">
        <v>311</v>
      </c>
      <c r="C3" s="47">
        <v>5325503</v>
      </c>
      <c r="D3" s="46">
        <v>5013005</v>
      </c>
      <c r="E3" s="48">
        <f t="shared" ref="E3:E28" si="0">SUM(C3,D3)</f>
        <v>10338508</v>
      </c>
      <c r="F3" s="49">
        <f>A3/E3*100000</f>
        <v>1.5476120925766077</v>
      </c>
      <c r="G3" s="49">
        <f>B3/E3*25000</f>
        <v>0.75204275123644537</v>
      </c>
      <c r="H3" s="25" t="s">
        <v>15</v>
      </c>
    </row>
    <row r="4" spans="1:8">
      <c r="A4" s="46">
        <v>60</v>
      </c>
      <c r="B4" s="46">
        <v>126</v>
      </c>
      <c r="C4" s="47">
        <v>2857790</v>
      </c>
      <c r="D4" s="46">
        <v>2735779</v>
      </c>
      <c r="E4" s="48">
        <f t="shared" si="0"/>
        <v>5593569</v>
      </c>
      <c r="F4" s="49">
        <f t="shared" ref="F4:F29" si="1">A4/E4*100000</f>
        <v>1.072660406978085</v>
      </c>
      <c r="G4" s="49">
        <f t="shared" ref="G4:G29" si="2">B4/E4*25000</f>
        <v>0.56314671366349467</v>
      </c>
      <c r="H4" s="28" t="s">
        <v>16</v>
      </c>
    </row>
    <row r="5" spans="1:8">
      <c r="A5" s="46">
        <v>22</v>
      </c>
      <c r="B5" s="46">
        <v>52</v>
      </c>
      <c r="C5" s="47">
        <v>408006</v>
      </c>
      <c r="D5" s="46">
        <v>387906</v>
      </c>
      <c r="E5" s="48">
        <f t="shared" si="0"/>
        <v>795912</v>
      </c>
      <c r="F5" s="49">
        <f t="shared" si="1"/>
        <v>2.7641246770999808</v>
      </c>
      <c r="G5" s="49">
        <f t="shared" si="2"/>
        <v>1.6333464001045341</v>
      </c>
      <c r="H5" s="28" t="s">
        <v>17</v>
      </c>
    </row>
    <row r="6" spans="1:8">
      <c r="A6" s="46">
        <v>41</v>
      </c>
      <c r="B6" s="46">
        <v>84</v>
      </c>
      <c r="C6" s="47">
        <v>409315</v>
      </c>
      <c r="D6" s="46">
        <v>391376</v>
      </c>
      <c r="E6" s="48">
        <f t="shared" si="0"/>
        <v>800691</v>
      </c>
      <c r="F6" s="49">
        <f t="shared" si="1"/>
        <v>5.1205771015285544</v>
      </c>
      <c r="G6" s="49">
        <f t="shared" si="2"/>
        <v>2.6227346129780402</v>
      </c>
      <c r="H6" s="28" t="s">
        <v>19</v>
      </c>
    </row>
    <row r="7" spans="1:8">
      <c r="A7" s="46">
        <v>41</v>
      </c>
      <c r="B7" s="46">
        <v>94</v>
      </c>
      <c r="C7" s="47">
        <v>836224</v>
      </c>
      <c r="D7" s="46">
        <v>796244</v>
      </c>
      <c r="E7" s="48">
        <f t="shared" si="0"/>
        <v>1632468</v>
      </c>
      <c r="F7" s="49">
        <f t="shared" si="1"/>
        <v>2.5115346824562566</v>
      </c>
      <c r="G7" s="49">
        <f t="shared" si="2"/>
        <v>1.4395381716517568</v>
      </c>
      <c r="H7" s="28" t="s">
        <v>20</v>
      </c>
    </row>
    <row r="8" spans="1:8">
      <c r="A8" s="46">
        <v>88</v>
      </c>
      <c r="B8" s="46">
        <v>130</v>
      </c>
      <c r="C8" s="47">
        <v>3615666</v>
      </c>
      <c r="D8" s="46">
        <v>3502289</v>
      </c>
      <c r="E8" s="48">
        <f t="shared" si="0"/>
        <v>7117955</v>
      </c>
      <c r="F8" s="49">
        <f t="shared" si="1"/>
        <v>1.2363101480692138</v>
      </c>
      <c r="G8" s="49">
        <f t="shared" si="2"/>
        <v>0.45659181604828913</v>
      </c>
      <c r="H8" s="28" t="s">
        <v>22</v>
      </c>
    </row>
    <row r="9" spans="1:8">
      <c r="A9" s="46">
        <v>102</v>
      </c>
      <c r="B9" s="46">
        <v>181</v>
      </c>
      <c r="C9" s="47">
        <v>4113432</v>
      </c>
      <c r="D9" s="46">
        <v>3894502</v>
      </c>
      <c r="E9" s="48">
        <f t="shared" si="0"/>
        <v>8007934</v>
      </c>
      <c r="F9" s="49">
        <f t="shared" si="1"/>
        <v>1.2737367715568084</v>
      </c>
      <c r="G9" s="49">
        <f t="shared" si="2"/>
        <v>0.56506459718574109</v>
      </c>
      <c r="H9" s="28" t="s">
        <v>23</v>
      </c>
    </row>
    <row r="10" spans="1:8">
      <c r="A10" s="46">
        <v>70</v>
      </c>
      <c r="B10" s="46">
        <v>112</v>
      </c>
      <c r="C10" s="47">
        <v>3194832</v>
      </c>
      <c r="D10" s="46">
        <v>3011476</v>
      </c>
      <c r="E10" s="48">
        <f t="shared" si="0"/>
        <v>6206308</v>
      </c>
      <c r="F10" s="49">
        <f t="shared" si="1"/>
        <v>1.1278847263139373</v>
      </c>
      <c r="G10" s="49">
        <f t="shared" si="2"/>
        <v>0.45115389052557497</v>
      </c>
      <c r="H10" s="28" t="s">
        <v>24</v>
      </c>
    </row>
    <row r="11" spans="1:8">
      <c r="A11" s="46">
        <v>51</v>
      </c>
      <c r="B11" s="46">
        <v>91</v>
      </c>
      <c r="C11" s="47">
        <v>1924714</v>
      </c>
      <c r="D11" s="46">
        <v>1836804</v>
      </c>
      <c r="E11" s="48">
        <f t="shared" si="0"/>
        <v>3761518</v>
      </c>
      <c r="F11" s="49">
        <f t="shared" si="1"/>
        <v>1.3558355961609116</v>
      </c>
      <c r="G11" s="49">
        <f t="shared" si="2"/>
        <v>0.6048090159345243</v>
      </c>
      <c r="H11" s="28" t="s">
        <v>25</v>
      </c>
    </row>
    <row r="12" spans="1:8">
      <c r="A12" s="46">
        <v>66</v>
      </c>
      <c r="B12" s="46">
        <v>124</v>
      </c>
      <c r="C12" s="47">
        <v>2802840</v>
      </c>
      <c r="D12" s="46">
        <v>2690072</v>
      </c>
      <c r="E12" s="48">
        <f t="shared" si="0"/>
        <v>5492912</v>
      </c>
      <c r="F12" s="49">
        <f t="shared" si="1"/>
        <v>1.201548468280577</v>
      </c>
      <c r="G12" s="49">
        <f t="shared" si="2"/>
        <v>0.56436367449542246</v>
      </c>
      <c r="H12" s="28" t="s">
        <v>27</v>
      </c>
    </row>
    <row r="13" spans="1:8">
      <c r="A13" s="46">
        <v>66</v>
      </c>
      <c r="B13" s="46">
        <v>110</v>
      </c>
      <c r="C13" s="47">
        <v>2464765</v>
      </c>
      <c r="D13" s="46">
        <v>2328875</v>
      </c>
      <c r="E13" s="48">
        <f t="shared" si="0"/>
        <v>4793640</v>
      </c>
      <c r="F13" s="49">
        <f t="shared" si="1"/>
        <v>1.3768242921871479</v>
      </c>
      <c r="G13" s="49">
        <f t="shared" si="2"/>
        <v>0.57367678841131164</v>
      </c>
      <c r="H13" s="28" t="s">
        <v>28</v>
      </c>
    </row>
    <row r="14" spans="1:8">
      <c r="A14" s="46">
        <v>92</v>
      </c>
      <c r="B14" s="46">
        <v>140</v>
      </c>
      <c r="C14" s="47">
        <v>3588667</v>
      </c>
      <c r="D14" s="46">
        <v>3382199</v>
      </c>
      <c r="E14" s="48">
        <f t="shared" si="0"/>
        <v>6970866</v>
      </c>
      <c r="F14" s="49">
        <f t="shared" si="1"/>
        <v>1.3197786329560774</v>
      </c>
      <c r="G14" s="49">
        <f t="shared" si="2"/>
        <v>0.50208969732024689</v>
      </c>
      <c r="H14" s="28" t="s">
        <v>29</v>
      </c>
    </row>
    <row r="15" spans="1:8">
      <c r="A15" s="46">
        <v>56</v>
      </c>
      <c r="B15" s="46">
        <v>114</v>
      </c>
      <c r="C15" s="47">
        <v>757107</v>
      </c>
      <c r="D15" s="46">
        <v>715800</v>
      </c>
      <c r="E15" s="48">
        <f t="shared" si="0"/>
        <v>1472907</v>
      </c>
      <c r="F15" s="49">
        <f t="shared" si="1"/>
        <v>3.8020051503591197</v>
      </c>
      <c r="G15" s="49">
        <f t="shared" si="2"/>
        <v>1.9349490497363377</v>
      </c>
      <c r="H15" s="28" t="s">
        <v>30</v>
      </c>
    </row>
    <row r="16" spans="1:8">
      <c r="A16" s="46">
        <v>111</v>
      </c>
      <c r="B16" s="46">
        <v>216</v>
      </c>
      <c r="C16" s="47">
        <v>4978659</v>
      </c>
      <c r="D16" s="46">
        <v>4655904</v>
      </c>
      <c r="E16" s="48">
        <f t="shared" si="0"/>
        <v>9634563</v>
      </c>
      <c r="F16" s="49">
        <f t="shared" si="1"/>
        <v>1.152102072507077</v>
      </c>
      <c r="G16" s="49">
        <f t="shared" si="2"/>
        <v>0.56048208932776711</v>
      </c>
      <c r="H16" s="28" t="s">
        <v>31</v>
      </c>
    </row>
    <row r="17" spans="1:8">
      <c r="A17" s="46">
        <v>54</v>
      </c>
      <c r="B17" s="46">
        <v>96</v>
      </c>
      <c r="C17" s="47">
        <v>1880023</v>
      </c>
      <c r="D17" s="46">
        <v>1773006</v>
      </c>
      <c r="E17" s="48">
        <f t="shared" si="0"/>
        <v>3653029</v>
      </c>
      <c r="F17" s="49">
        <f t="shared" si="1"/>
        <v>1.4782253302670196</v>
      </c>
      <c r="G17" s="49">
        <f t="shared" si="2"/>
        <v>0.65698903567423084</v>
      </c>
      <c r="H17" s="28" t="s">
        <v>32</v>
      </c>
    </row>
    <row r="18" spans="1:8">
      <c r="A18" s="46">
        <v>60</v>
      </c>
      <c r="B18" s="46">
        <v>86</v>
      </c>
      <c r="C18" s="47">
        <v>2155393</v>
      </c>
      <c r="D18" s="46">
        <v>1991967</v>
      </c>
      <c r="E18" s="48">
        <f t="shared" si="0"/>
        <v>4147360</v>
      </c>
      <c r="F18" s="49">
        <f t="shared" si="1"/>
        <v>1.4467034450831373</v>
      </c>
      <c r="G18" s="49">
        <f t="shared" si="2"/>
        <v>0.51840206782145748</v>
      </c>
      <c r="H18" s="28" t="s">
        <v>34</v>
      </c>
    </row>
    <row r="19" spans="1:8">
      <c r="A19" s="46">
        <v>61</v>
      </c>
      <c r="B19" s="46">
        <v>115</v>
      </c>
      <c r="C19" s="47">
        <v>3321272</v>
      </c>
      <c r="D19" s="46">
        <v>3131535</v>
      </c>
      <c r="E19" s="48">
        <f t="shared" si="0"/>
        <v>6452807</v>
      </c>
      <c r="F19" s="49">
        <f t="shared" si="1"/>
        <v>0.9453250345159866</v>
      </c>
      <c r="G19" s="49">
        <f t="shared" si="2"/>
        <v>0.44554253675958383</v>
      </c>
      <c r="H19" s="28" t="s">
        <v>36</v>
      </c>
    </row>
    <row r="20" spans="1:8">
      <c r="A20" s="46">
        <v>68</v>
      </c>
      <c r="B20" s="46">
        <v>128</v>
      </c>
      <c r="C20" s="47">
        <v>2660363</v>
      </c>
      <c r="D20" s="46">
        <v>2497652</v>
      </c>
      <c r="E20" s="48">
        <f t="shared" si="0"/>
        <v>5158015</v>
      </c>
      <c r="F20" s="49">
        <f t="shared" si="1"/>
        <v>1.3183366081719421</v>
      </c>
      <c r="G20" s="49">
        <f t="shared" si="2"/>
        <v>0.62039369796326693</v>
      </c>
      <c r="H20" s="28" t="s">
        <v>37</v>
      </c>
    </row>
    <row r="21" spans="1:8">
      <c r="A21" s="46">
        <v>62</v>
      </c>
      <c r="B21" s="46">
        <v>117</v>
      </c>
      <c r="C21" s="47">
        <v>3013121</v>
      </c>
      <c r="D21" s="46">
        <v>2821193</v>
      </c>
      <c r="E21" s="48">
        <f t="shared" si="0"/>
        <v>5834314</v>
      </c>
      <c r="F21" s="49">
        <f t="shared" si="1"/>
        <v>1.0626784914216136</v>
      </c>
      <c r="G21" s="49">
        <f t="shared" si="2"/>
        <v>0.50134428829164834</v>
      </c>
      <c r="H21" s="28" t="s">
        <v>39</v>
      </c>
    </row>
    <row r="22" spans="1:8">
      <c r="A22" s="46">
        <v>66</v>
      </c>
      <c r="B22" s="46">
        <v>104</v>
      </c>
      <c r="C22" s="47">
        <v>1899284</v>
      </c>
      <c r="D22" s="46">
        <v>1805199</v>
      </c>
      <c r="E22" s="48">
        <f t="shared" si="0"/>
        <v>3704483</v>
      </c>
      <c r="F22" s="49">
        <f t="shared" si="1"/>
        <v>1.7816251282567632</v>
      </c>
      <c r="G22" s="49">
        <f t="shared" si="2"/>
        <v>0.70185232325266433</v>
      </c>
      <c r="H22" s="28" t="s">
        <v>41</v>
      </c>
    </row>
    <row r="23" spans="1:8">
      <c r="A23" s="46">
        <v>56</v>
      </c>
      <c r="B23" s="46">
        <v>124</v>
      </c>
      <c r="C23" s="47">
        <v>852758</v>
      </c>
      <c r="D23" s="46">
        <v>828372</v>
      </c>
      <c r="E23" s="48">
        <f t="shared" si="0"/>
        <v>1681130</v>
      </c>
      <c r="F23" s="49">
        <f t="shared" si="1"/>
        <v>3.3310927768822158</v>
      </c>
      <c r="G23" s="49">
        <f t="shared" si="2"/>
        <v>1.8439977872026556</v>
      </c>
      <c r="H23" s="28" t="s">
        <v>42</v>
      </c>
    </row>
    <row r="24" spans="1:8">
      <c r="A24" s="46">
        <v>43</v>
      </c>
      <c r="B24" s="46">
        <v>86</v>
      </c>
      <c r="C24" s="47">
        <v>732395</v>
      </c>
      <c r="D24" s="46">
        <v>690884</v>
      </c>
      <c r="E24" s="48">
        <f t="shared" si="0"/>
        <v>1423279</v>
      </c>
      <c r="F24" s="49">
        <f t="shared" si="1"/>
        <v>3.0211926122706791</v>
      </c>
      <c r="G24" s="49">
        <f t="shared" si="2"/>
        <v>1.5105963061353396</v>
      </c>
      <c r="H24" s="28" t="s">
        <v>43</v>
      </c>
    </row>
    <row r="25" spans="1:8">
      <c r="A25" s="46">
        <v>52</v>
      </c>
      <c r="B25" s="46">
        <v>108</v>
      </c>
      <c r="C25" s="47">
        <v>211970</v>
      </c>
      <c r="D25" s="46">
        <v>197998</v>
      </c>
      <c r="E25" s="48">
        <f t="shared" si="0"/>
        <v>409968</v>
      </c>
      <c r="F25" s="49">
        <f t="shared" si="1"/>
        <v>12.683916793505833</v>
      </c>
      <c r="G25" s="49">
        <f t="shared" si="2"/>
        <v>6.5858798735511064</v>
      </c>
      <c r="H25" s="28" t="s">
        <v>45</v>
      </c>
    </row>
    <row r="26" spans="1:8">
      <c r="A26" s="46">
        <v>57</v>
      </c>
      <c r="B26" s="46">
        <v>91</v>
      </c>
      <c r="C26" s="47">
        <v>138643</v>
      </c>
      <c r="D26" s="46">
        <v>132192</v>
      </c>
      <c r="E26" s="48">
        <f t="shared" si="0"/>
        <v>270835</v>
      </c>
      <c r="F26" s="49">
        <f t="shared" si="1"/>
        <v>21.046024332157955</v>
      </c>
      <c r="G26" s="49">
        <f t="shared" si="2"/>
        <v>8.399948308010412</v>
      </c>
      <c r="H26" s="28" t="s">
        <v>47</v>
      </c>
    </row>
    <row r="27" spans="1:8">
      <c r="A27" s="46">
        <v>65</v>
      </c>
      <c r="B27" s="46">
        <v>128</v>
      </c>
      <c r="C27" s="47">
        <v>293734</v>
      </c>
      <c r="D27" s="46">
        <v>272546</v>
      </c>
      <c r="E27" s="48">
        <f t="shared" si="0"/>
        <v>566280</v>
      </c>
      <c r="F27" s="49">
        <f t="shared" si="1"/>
        <v>11.478420569329661</v>
      </c>
      <c r="G27" s="49">
        <f t="shared" si="2"/>
        <v>5.6509147418238328</v>
      </c>
      <c r="H27" s="28" t="s">
        <v>48</v>
      </c>
    </row>
    <row r="28" spans="1:8">
      <c r="A28" s="46">
        <v>51</v>
      </c>
      <c r="B28" s="46">
        <v>109</v>
      </c>
      <c r="C28" s="47">
        <v>262785</v>
      </c>
      <c r="D28" s="46">
        <v>253479</v>
      </c>
      <c r="E28" s="48">
        <f t="shared" si="0"/>
        <v>516264</v>
      </c>
      <c r="F28" s="49">
        <f t="shared" si="1"/>
        <v>9.8786667286504581</v>
      </c>
      <c r="G28" s="49">
        <f>B28/E28*25000</f>
        <v>5.2783072226612742</v>
      </c>
      <c r="H28" s="28" t="s">
        <v>49</v>
      </c>
    </row>
    <row r="29" spans="1:8">
      <c r="A29" s="50">
        <v>46</v>
      </c>
      <c r="B29" s="50">
        <v>86</v>
      </c>
      <c r="C29" s="51">
        <v>60488</v>
      </c>
      <c r="D29" s="50">
        <v>58171</v>
      </c>
      <c r="E29" s="48">
        <f>SUM(C29,D29)</f>
        <v>118659</v>
      </c>
      <c r="F29" s="49">
        <f t="shared" si="1"/>
        <v>38.766549524267013</v>
      </c>
      <c r="G29" s="49">
        <f>B29/E29*25000</f>
        <v>18.119148147211757</v>
      </c>
      <c r="H29" s="31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4C6B3-487B-4E1E-A10B-7DB3988E2789}">
  <dimension ref="A1:AH30"/>
  <sheetViews>
    <sheetView topLeftCell="B1" zoomScale="74" workbookViewId="0">
      <selection activeCell="A4" sqref="A4:A30"/>
    </sheetView>
  </sheetViews>
  <sheetFormatPr defaultRowHeight="14.4"/>
  <cols>
    <col min="14" max="14" width="16.5546875" customWidth="1"/>
    <col min="21" max="21" width="14.5546875" customWidth="1"/>
    <col min="23" max="23" width="13.21875" customWidth="1"/>
    <col min="30" max="30" width="24.33203125" customWidth="1"/>
    <col min="31" max="32" width="22.6640625" customWidth="1"/>
  </cols>
  <sheetData>
    <row r="1" spans="1:34">
      <c r="B1" t="s">
        <v>93</v>
      </c>
      <c r="K1" t="s">
        <v>92</v>
      </c>
      <c r="AB1" t="s">
        <v>362</v>
      </c>
    </row>
    <row r="2" spans="1:34" ht="41.4" customHeight="1">
      <c r="A2" t="s">
        <v>364</v>
      </c>
      <c r="B2" s="22" t="s">
        <v>56</v>
      </c>
      <c r="C2" s="36" t="s">
        <v>58</v>
      </c>
      <c r="D2" s="22" t="s">
        <v>59</v>
      </c>
      <c r="E2" s="22" t="s">
        <v>60</v>
      </c>
      <c r="F2" s="22" t="s">
        <v>61</v>
      </c>
      <c r="G2" s="22" t="s">
        <v>62</v>
      </c>
      <c r="H2" s="22" t="s">
        <v>63</v>
      </c>
      <c r="I2" s="22" t="s">
        <v>57</v>
      </c>
      <c r="J2" s="22" t="s">
        <v>14</v>
      </c>
      <c r="K2" s="78" t="s">
        <v>56</v>
      </c>
      <c r="L2" s="36" t="s">
        <v>58</v>
      </c>
      <c r="M2" s="22" t="s">
        <v>59</v>
      </c>
      <c r="N2" s="22" t="s">
        <v>60</v>
      </c>
      <c r="O2" s="22" t="s">
        <v>61</v>
      </c>
      <c r="P2" s="22" t="s">
        <v>62</v>
      </c>
      <c r="Q2" s="22" t="s">
        <v>63</v>
      </c>
      <c r="R2" s="82" t="s">
        <v>57</v>
      </c>
      <c r="S2" s="82" t="s">
        <v>14</v>
      </c>
      <c r="T2" s="22" t="s">
        <v>74</v>
      </c>
      <c r="U2" s="22" t="s">
        <v>75</v>
      </c>
      <c r="V2" s="22" t="s">
        <v>76</v>
      </c>
      <c r="W2" s="22" t="s">
        <v>77</v>
      </c>
      <c r="X2" s="34" t="s">
        <v>78</v>
      </c>
      <c r="Y2" s="22" t="s">
        <v>79</v>
      </c>
      <c r="Z2" s="22" t="s">
        <v>80</v>
      </c>
      <c r="AA2" s="22" t="s">
        <v>77</v>
      </c>
      <c r="AB2" t="s">
        <v>82</v>
      </c>
      <c r="AC2" t="s">
        <v>81</v>
      </c>
      <c r="AD2" t="s">
        <v>83</v>
      </c>
      <c r="AE2" t="s">
        <v>84</v>
      </c>
      <c r="AF2" t="s">
        <v>85</v>
      </c>
      <c r="AG2" t="s">
        <v>86</v>
      </c>
      <c r="AH2" t="s">
        <v>87</v>
      </c>
    </row>
    <row r="3" spans="1:34">
      <c r="A3" s="37" t="s">
        <v>14</v>
      </c>
      <c r="B3" s="35">
        <v>218</v>
      </c>
      <c r="C3" s="35">
        <v>505</v>
      </c>
      <c r="D3" s="35">
        <v>1219</v>
      </c>
      <c r="E3" s="35">
        <v>796</v>
      </c>
      <c r="F3" s="35">
        <v>746</v>
      </c>
      <c r="G3" s="35">
        <v>623</v>
      </c>
      <c r="H3" s="35">
        <v>613</v>
      </c>
      <c r="I3" s="35">
        <v>540</v>
      </c>
      <c r="J3" s="35">
        <v>5260</v>
      </c>
      <c r="K3" s="93">
        <v>3735</v>
      </c>
      <c r="L3" s="93">
        <v>11031</v>
      </c>
      <c r="M3" s="93">
        <v>24745</v>
      </c>
      <c r="N3" s="93">
        <v>13531</v>
      </c>
      <c r="O3" s="93">
        <v>10348</v>
      </c>
      <c r="P3" s="93">
        <v>6887</v>
      </c>
      <c r="Q3" s="93">
        <v>4081</v>
      </c>
      <c r="R3" s="93">
        <v>2004</v>
      </c>
      <c r="S3" s="93">
        <v>76362</v>
      </c>
      <c r="T3" s="38">
        <v>2125</v>
      </c>
      <c r="U3" s="38">
        <v>1202</v>
      </c>
      <c r="V3" s="38">
        <v>1174</v>
      </c>
      <c r="W3" s="38">
        <v>759</v>
      </c>
      <c r="X3" s="39">
        <f t="shared" ref="X3:AF3" si="0">SUM(X4:X30)</f>
        <v>2955</v>
      </c>
      <c r="Y3" s="39">
        <f t="shared" si="0"/>
        <v>223</v>
      </c>
      <c r="Z3" s="39">
        <f t="shared" si="0"/>
        <v>897</v>
      </c>
      <c r="AA3" s="39">
        <f t="shared" si="0"/>
        <v>1185</v>
      </c>
      <c r="AB3" s="43">
        <f t="shared" si="0"/>
        <v>1767</v>
      </c>
      <c r="AC3" s="43">
        <f t="shared" si="0"/>
        <v>3263</v>
      </c>
      <c r="AD3" s="39">
        <f t="shared" si="0"/>
        <v>54759749</v>
      </c>
      <c r="AE3" s="39">
        <f t="shared" si="0"/>
        <v>51796425</v>
      </c>
      <c r="AF3" s="44">
        <f t="shared" si="0"/>
        <v>106556174</v>
      </c>
      <c r="AG3" s="45">
        <f>AB3/AF3*100000</f>
        <v>1.6582802607008016</v>
      </c>
      <c r="AH3" s="45">
        <f>AC3/AF3*25000</f>
        <v>0.76555864327486078</v>
      </c>
    </row>
    <row r="4" spans="1:34">
      <c r="A4" s="25" t="s">
        <v>15</v>
      </c>
      <c r="B4" s="26">
        <v>14</v>
      </c>
      <c r="C4" s="26">
        <v>52</v>
      </c>
      <c r="D4" s="26">
        <v>160</v>
      </c>
      <c r="E4" s="26">
        <v>127</v>
      </c>
      <c r="F4" s="26">
        <v>108</v>
      </c>
      <c r="G4" s="26">
        <v>90</v>
      </c>
      <c r="H4" s="26">
        <v>111</v>
      </c>
      <c r="I4" s="26">
        <v>104</v>
      </c>
      <c r="J4" s="27">
        <v>766</v>
      </c>
      <c r="K4" s="75">
        <v>203</v>
      </c>
      <c r="L4" s="75">
        <v>38</v>
      </c>
      <c r="M4" s="75">
        <v>214</v>
      </c>
      <c r="N4" s="75">
        <v>208</v>
      </c>
      <c r="O4" s="75">
        <v>142</v>
      </c>
      <c r="P4" s="75">
        <v>66</v>
      </c>
      <c r="Q4" s="75">
        <v>40</v>
      </c>
      <c r="R4" s="75">
        <v>23</v>
      </c>
      <c r="S4" s="87">
        <v>934</v>
      </c>
      <c r="T4" s="26">
        <v>456</v>
      </c>
      <c r="U4" s="26">
        <v>134</v>
      </c>
      <c r="V4" s="26">
        <v>94</v>
      </c>
      <c r="W4" s="26">
        <v>82</v>
      </c>
      <c r="X4" s="40">
        <v>516</v>
      </c>
      <c r="Y4" s="40">
        <v>2</v>
      </c>
      <c r="Z4" s="40">
        <v>130</v>
      </c>
      <c r="AA4" s="40">
        <v>118</v>
      </c>
      <c r="AB4" s="46">
        <v>160</v>
      </c>
      <c r="AC4" s="46">
        <v>311</v>
      </c>
      <c r="AD4" s="47">
        <v>5325503</v>
      </c>
      <c r="AE4" s="46">
        <v>5013005</v>
      </c>
      <c r="AF4" s="48">
        <f>AE4+AD4</f>
        <v>10338508</v>
      </c>
      <c r="AG4" s="49">
        <f>AB4/AF4*100000</f>
        <v>1.5476120925766077</v>
      </c>
      <c r="AH4" s="49">
        <f>AC4/AF4*25000</f>
        <v>0.75204275123644537</v>
      </c>
    </row>
    <row r="5" spans="1:34">
      <c r="A5" s="28" t="s">
        <v>16</v>
      </c>
      <c r="B5" s="29">
        <v>17</v>
      </c>
      <c r="C5" s="29">
        <v>30</v>
      </c>
      <c r="D5" s="29">
        <v>68</v>
      </c>
      <c r="E5" s="29">
        <v>64</v>
      </c>
      <c r="F5" s="29">
        <v>57</v>
      </c>
      <c r="G5" s="29">
        <v>43</v>
      </c>
      <c r="H5" s="29">
        <v>42</v>
      </c>
      <c r="I5" s="29">
        <v>61</v>
      </c>
      <c r="J5" s="30">
        <v>382</v>
      </c>
      <c r="K5" s="75">
        <v>45</v>
      </c>
      <c r="L5" s="75">
        <v>244</v>
      </c>
      <c r="M5" s="75">
        <v>779</v>
      </c>
      <c r="N5" s="75">
        <v>618</v>
      </c>
      <c r="O5" s="75">
        <v>555</v>
      </c>
      <c r="P5" s="75">
        <v>361</v>
      </c>
      <c r="Q5" s="75">
        <v>233</v>
      </c>
      <c r="R5" s="75">
        <v>145</v>
      </c>
      <c r="S5" s="87">
        <v>2980</v>
      </c>
      <c r="T5" s="29">
        <v>253</v>
      </c>
      <c r="U5" s="29">
        <v>58</v>
      </c>
      <c r="V5" s="29">
        <v>48</v>
      </c>
      <c r="W5" s="29">
        <v>23</v>
      </c>
      <c r="X5" s="40">
        <v>260</v>
      </c>
      <c r="Y5" s="40">
        <v>19</v>
      </c>
      <c r="Z5" s="40">
        <v>47</v>
      </c>
      <c r="AA5" s="40">
        <v>56</v>
      </c>
      <c r="AB5" s="46">
        <v>60</v>
      </c>
      <c r="AC5" s="46">
        <v>126</v>
      </c>
      <c r="AD5" s="47">
        <v>2857790</v>
      </c>
      <c r="AE5" s="46">
        <v>2735779</v>
      </c>
      <c r="AF5" s="48">
        <f t="shared" ref="AF5:AF30" si="1">AE5+AD5</f>
        <v>5593569</v>
      </c>
      <c r="AG5" s="49">
        <f t="shared" ref="AG5:AG30" si="2">AB5/AF5*100000</f>
        <v>1.072660406978085</v>
      </c>
      <c r="AH5" s="49">
        <f t="shared" ref="AH5:AH30" si="3">AC5/AF5*25000</f>
        <v>0.56314671366349467</v>
      </c>
    </row>
    <row r="6" spans="1:34">
      <c r="A6" s="28" t="s">
        <v>17</v>
      </c>
      <c r="B6" s="29">
        <v>0</v>
      </c>
      <c r="C6" s="29">
        <v>1</v>
      </c>
      <c r="D6" s="29">
        <v>8</v>
      </c>
      <c r="E6" s="29">
        <v>5</v>
      </c>
      <c r="F6" s="29">
        <v>3</v>
      </c>
      <c r="G6" s="29">
        <v>6</v>
      </c>
      <c r="H6" s="29">
        <v>4</v>
      </c>
      <c r="I6" s="29">
        <v>1</v>
      </c>
      <c r="J6" s="30">
        <v>28</v>
      </c>
      <c r="K6" s="75">
        <v>0</v>
      </c>
      <c r="L6" s="75">
        <v>0</v>
      </c>
      <c r="M6" s="75">
        <v>0</v>
      </c>
      <c r="N6" s="75">
        <v>0</v>
      </c>
      <c r="O6" s="75">
        <v>0</v>
      </c>
      <c r="P6" s="75">
        <v>0</v>
      </c>
      <c r="Q6" s="75">
        <v>0</v>
      </c>
      <c r="R6" s="75">
        <v>0</v>
      </c>
      <c r="S6" s="87">
        <v>0</v>
      </c>
      <c r="T6" s="29">
        <v>7</v>
      </c>
      <c r="U6" s="29">
        <v>9</v>
      </c>
      <c r="V6" s="29">
        <v>7</v>
      </c>
      <c r="W6" s="29">
        <v>5</v>
      </c>
      <c r="X6" s="40">
        <v>14</v>
      </c>
      <c r="Y6" s="40">
        <v>0</v>
      </c>
      <c r="Z6" s="40">
        <v>8</v>
      </c>
      <c r="AA6" s="40">
        <v>6</v>
      </c>
      <c r="AB6" s="46">
        <v>22</v>
      </c>
      <c r="AC6" s="46">
        <v>52</v>
      </c>
      <c r="AD6" s="47">
        <v>408006</v>
      </c>
      <c r="AE6" s="46">
        <v>387906</v>
      </c>
      <c r="AF6" s="48">
        <f t="shared" si="1"/>
        <v>795912</v>
      </c>
      <c r="AG6" s="49">
        <f t="shared" si="2"/>
        <v>2.7641246770999808</v>
      </c>
      <c r="AH6" s="49">
        <f t="shared" si="3"/>
        <v>1.6333464001045341</v>
      </c>
    </row>
    <row r="7" spans="1:34">
      <c r="A7" s="28" t="s">
        <v>19</v>
      </c>
      <c r="B7" s="29">
        <v>0</v>
      </c>
      <c r="C7" s="29">
        <v>0</v>
      </c>
      <c r="D7" s="29">
        <v>1</v>
      </c>
      <c r="E7" s="29">
        <v>2</v>
      </c>
      <c r="F7" s="29">
        <v>0</v>
      </c>
      <c r="G7" s="29">
        <v>1</v>
      </c>
      <c r="H7" s="29">
        <v>2</v>
      </c>
      <c r="I7" s="29">
        <v>0</v>
      </c>
      <c r="J7" s="30">
        <v>6</v>
      </c>
      <c r="K7" s="75">
        <v>2</v>
      </c>
      <c r="L7" s="75">
        <v>4</v>
      </c>
      <c r="M7" s="75">
        <v>15</v>
      </c>
      <c r="N7" s="75">
        <v>8</v>
      </c>
      <c r="O7" s="75">
        <v>4</v>
      </c>
      <c r="P7" s="75">
        <v>4</v>
      </c>
      <c r="Q7" s="75">
        <v>0</v>
      </c>
      <c r="R7" s="75">
        <v>2</v>
      </c>
      <c r="S7" s="87">
        <v>39</v>
      </c>
      <c r="T7" s="29">
        <v>2</v>
      </c>
      <c r="U7" s="29">
        <v>3</v>
      </c>
      <c r="V7" s="29">
        <v>0</v>
      </c>
      <c r="W7" s="29">
        <v>1</v>
      </c>
      <c r="X7" s="40">
        <v>4</v>
      </c>
      <c r="Y7" s="40">
        <v>0</v>
      </c>
      <c r="Z7" s="40">
        <v>1</v>
      </c>
      <c r="AA7" s="40">
        <v>1</v>
      </c>
      <c r="AB7" s="46">
        <v>41</v>
      </c>
      <c r="AC7" s="46">
        <v>84</v>
      </c>
      <c r="AD7" s="47">
        <v>409315</v>
      </c>
      <c r="AE7" s="46">
        <v>391376</v>
      </c>
      <c r="AF7" s="48">
        <f t="shared" si="1"/>
        <v>800691</v>
      </c>
      <c r="AG7" s="49">
        <f t="shared" si="2"/>
        <v>5.1205771015285544</v>
      </c>
      <c r="AH7" s="49">
        <f t="shared" si="3"/>
        <v>2.6227346129780402</v>
      </c>
    </row>
    <row r="8" spans="1:34">
      <c r="A8" s="28" t="s">
        <v>20</v>
      </c>
      <c r="B8" s="29">
        <v>9</v>
      </c>
      <c r="C8" s="29">
        <v>36</v>
      </c>
      <c r="D8" s="29">
        <v>57</v>
      </c>
      <c r="E8" s="29">
        <v>38</v>
      </c>
      <c r="F8" s="29">
        <v>43</v>
      </c>
      <c r="G8" s="29">
        <v>43</v>
      </c>
      <c r="H8" s="29">
        <v>30</v>
      </c>
      <c r="I8" s="29">
        <v>30</v>
      </c>
      <c r="J8" s="30">
        <v>286</v>
      </c>
      <c r="K8" s="75">
        <v>242</v>
      </c>
      <c r="L8" s="75">
        <v>1033</v>
      </c>
      <c r="M8" s="75">
        <v>2590</v>
      </c>
      <c r="N8" s="75">
        <v>911</v>
      </c>
      <c r="O8" s="75">
        <v>710</v>
      </c>
      <c r="P8" s="75">
        <v>575</v>
      </c>
      <c r="Q8" s="75">
        <v>350</v>
      </c>
      <c r="R8" s="75">
        <v>195</v>
      </c>
      <c r="S8" s="87">
        <v>6606</v>
      </c>
      <c r="T8" s="29">
        <v>129</v>
      </c>
      <c r="U8" s="29">
        <v>64</v>
      </c>
      <c r="V8" s="29">
        <v>83</v>
      </c>
      <c r="W8" s="29">
        <v>10</v>
      </c>
      <c r="X8" s="40">
        <v>222</v>
      </c>
      <c r="Y8" s="40">
        <v>6</v>
      </c>
      <c r="Z8" s="40">
        <v>33</v>
      </c>
      <c r="AA8" s="40">
        <v>25</v>
      </c>
      <c r="AB8" s="46">
        <v>41</v>
      </c>
      <c r="AC8" s="46">
        <v>94</v>
      </c>
      <c r="AD8" s="47">
        <v>836224</v>
      </c>
      <c r="AE8" s="46">
        <v>796244</v>
      </c>
      <c r="AF8" s="48">
        <f t="shared" si="1"/>
        <v>1632468</v>
      </c>
      <c r="AG8" s="49">
        <f t="shared" si="2"/>
        <v>2.5115346824562566</v>
      </c>
      <c r="AH8" s="49">
        <f t="shared" si="3"/>
        <v>1.4395381716517568</v>
      </c>
    </row>
    <row r="9" spans="1:34">
      <c r="A9" s="28" t="s">
        <v>22</v>
      </c>
      <c r="B9" s="29">
        <v>3</v>
      </c>
      <c r="C9" s="29">
        <v>17</v>
      </c>
      <c r="D9" s="29">
        <v>54</v>
      </c>
      <c r="E9" s="29">
        <v>25</v>
      </c>
      <c r="F9" s="29">
        <v>9</v>
      </c>
      <c r="G9" s="29">
        <v>20</v>
      </c>
      <c r="H9" s="29">
        <v>18</v>
      </c>
      <c r="I9" s="29">
        <v>40</v>
      </c>
      <c r="J9" s="30">
        <v>186</v>
      </c>
      <c r="K9" s="75">
        <v>495</v>
      </c>
      <c r="L9" s="75">
        <v>2470</v>
      </c>
      <c r="M9" s="75">
        <v>5793</v>
      </c>
      <c r="N9" s="75">
        <v>2321</v>
      </c>
      <c r="O9" s="75">
        <v>1899</v>
      </c>
      <c r="P9" s="75">
        <v>1270</v>
      </c>
      <c r="Q9" s="75">
        <v>878</v>
      </c>
      <c r="R9" s="75">
        <v>437</v>
      </c>
      <c r="S9" s="87">
        <v>15563</v>
      </c>
      <c r="T9" s="29">
        <v>41</v>
      </c>
      <c r="U9" s="29">
        <v>62</v>
      </c>
      <c r="V9" s="29">
        <v>18</v>
      </c>
      <c r="W9" s="29">
        <v>65</v>
      </c>
      <c r="X9" s="40">
        <v>46</v>
      </c>
      <c r="Y9" s="40">
        <v>2</v>
      </c>
      <c r="Z9" s="40">
        <v>63</v>
      </c>
      <c r="AA9" s="40">
        <v>75</v>
      </c>
      <c r="AB9" s="46">
        <v>88</v>
      </c>
      <c r="AC9" s="46">
        <v>130</v>
      </c>
      <c r="AD9" s="47">
        <v>3615666</v>
      </c>
      <c r="AE9" s="46">
        <v>3502289</v>
      </c>
      <c r="AF9" s="48">
        <f t="shared" si="1"/>
        <v>7117955</v>
      </c>
      <c r="AG9" s="49">
        <f t="shared" si="2"/>
        <v>1.2363101480692138</v>
      </c>
      <c r="AH9" s="49">
        <f t="shared" si="3"/>
        <v>0.45659181604828913</v>
      </c>
    </row>
    <row r="10" spans="1:34">
      <c r="A10" s="28" t="s">
        <v>23</v>
      </c>
      <c r="B10" s="29">
        <v>9</v>
      </c>
      <c r="C10" s="29">
        <v>43</v>
      </c>
      <c r="D10" s="29">
        <v>113</v>
      </c>
      <c r="E10" s="29">
        <v>33</v>
      </c>
      <c r="F10" s="29">
        <v>28</v>
      </c>
      <c r="G10" s="29">
        <v>32</v>
      </c>
      <c r="H10" s="29">
        <v>48</v>
      </c>
      <c r="I10" s="29">
        <v>44</v>
      </c>
      <c r="J10" s="30">
        <v>350</v>
      </c>
      <c r="K10" s="75">
        <v>283</v>
      </c>
      <c r="L10" s="75">
        <v>958</v>
      </c>
      <c r="M10" s="75">
        <v>2833</v>
      </c>
      <c r="N10" s="75">
        <v>1817</v>
      </c>
      <c r="O10" s="75">
        <v>1463</v>
      </c>
      <c r="P10" s="75">
        <v>895</v>
      </c>
      <c r="Q10" s="75">
        <v>504</v>
      </c>
      <c r="R10" s="75">
        <v>211</v>
      </c>
      <c r="S10" s="87">
        <v>8964</v>
      </c>
      <c r="T10" s="29">
        <v>103</v>
      </c>
      <c r="U10" s="29">
        <v>121</v>
      </c>
      <c r="V10" s="29">
        <v>99</v>
      </c>
      <c r="W10" s="29">
        <v>27</v>
      </c>
      <c r="X10" s="40">
        <v>134</v>
      </c>
      <c r="Y10" s="40">
        <v>10</v>
      </c>
      <c r="Z10" s="40">
        <v>142</v>
      </c>
      <c r="AA10" s="40">
        <v>64</v>
      </c>
      <c r="AB10" s="46">
        <v>102</v>
      </c>
      <c r="AC10" s="46">
        <v>181</v>
      </c>
      <c r="AD10" s="47">
        <v>4113432</v>
      </c>
      <c r="AE10" s="46">
        <v>3894502</v>
      </c>
      <c r="AF10" s="48">
        <f t="shared" si="1"/>
        <v>8007934</v>
      </c>
      <c r="AG10" s="49">
        <f t="shared" si="2"/>
        <v>1.2737367715568084</v>
      </c>
      <c r="AH10" s="49">
        <f t="shared" si="3"/>
        <v>0.56506459718574109</v>
      </c>
    </row>
    <row r="11" spans="1:34">
      <c r="A11" s="28" t="s">
        <v>24</v>
      </c>
      <c r="B11" s="29">
        <v>9</v>
      </c>
      <c r="C11" s="29">
        <v>22</v>
      </c>
      <c r="D11" s="29">
        <v>41</v>
      </c>
      <c r="E11" s="29">
        <v>17</v>
      </c>
      <c r="F11" s="29">
        <v>18</v>
      </c>
      <c r="G11" s="29">
        <v>14</v>
      </c>
      <c r="H11" s="29">
        <v>12</v>
      </c>
      <c r="I11" s="29">
        <v>3</v>
      </c>
      <c r="J11" s="30">
        <v>136</v>
      </c>
      <c r="K11" s="75">
        <v>10</v>
      </c>
      <c r="L11" s="75">
        <v>73</v>
      </c>
      <c r="M11" s="75">
        <v>156</v>
      </c>
      <c r="N11" s="75">
        <v>126</v>
      </c>
      <c r="O11" s="75">
        <v>81</v>
      </c>
      <c r="P11" s="75">
        <v>62</v>
      </c>
      <c r="Q11" s="75">
        <v>22</v>
      </c>
      <c r="R11" s="75">
        <v>11</v>
      </c>
      <c r="S11" s="87">
        <v>541</v>
      </c>
      <c r="T11" s="29">
        <v>47</v>
      </c>
      <c r="U11" s="29">
        <v>46</v>
      </c>
      <c r="V11" s="29">
        <v>29</v>
      </c>
      <c r="W11" s="29">
        <v>14</v>
      </c>
      <c r="X11" s="40">
        <v>60</v>
      </c>
      <c r="Y11" s="40">
        <v>6</v>
      </c>
      <c r="Z11" s="40">
        <v>44</v>
      </c>
      <c r="AA11" s="40">
        <v>26</v>
      </c>
      <c r="AB11" s="46">
        <v>70</v>
      </c>
      <c r="AC11" s="46">
        <v>112</v>
      </c>
      <c r="AD11" s="47">
        <v>3194832</v>
      </c>
      <c r="AE11" s="46">
        <v>3011476</v>
      </c>
      <c r="AF11" s="48">
        <f t="shared" si="1"/>
        <v>6206308</v>
      </c>
      <c r="AG11" s="49">
        <f t="shared" si="2"/>
        <v>1.1278847263139373</v>
      </c>
      <c r="AH11" s="49">
        <f t="shared" si="3"/>
        <v>0.45115389052557497</v>
      </c>
    </row>
    <row r="12" spans="1:34">
      <c r="A12" s="28" t="s">
        <v>25</v>
      </c>
      <c r="B12" s="29">
        <v>5</v>
      </c>
      <c r="C12" s="29">
        <v>14</v>
      </c>
      <c r="D12" s="29">
        <v>50</v>
      </c>
      <c r="E12" s="29">
        <v>33</v>
      </c>
      <c r="F12" s="29">
        <v>37</v>
      </c>
      <c r="G12" s="29">
        <v>29</v>
      </c>
      <c r="H12" s="29">
        <v>29</v>
      </c>
      <c r="I12" s="29">
        <v>21</v>
      </c>
      <c r="J12" s="30">
        <v>218</v>
      </c>
      <c r="K12" s="75">
        <v>209</v>
      </c>
      <c r="L12" s="75">
        <v>680</v>
      </c>
      <c r="M12" s="75">
        <v>1407</v>
      </c>
      <c r="N12" s="75">
        <v>750</v>
      </c>
      <c r="O12" s="75">
        <v>541</v>
      </c>
      <c r="P12" s="75">
        <v>380</v>
      </c>
      <c r="Q12" s="75">
        <v>264</v>
      </c>
      <c r="R12" s="75">
        <v>104</v>
      </c>
      <c r="S12" s="87">
        <v>4335</v>
      </c>
      <c r="T12" s="29">
        <v>124</v>
      </c>
      <c r="U12" s="29">
        <v>40</v>
      </c>
      <c r="V12" s="29">
        <v>27</v>
      </c>
      <c r="W12" s="29">
        <v>27</v>
      </c>
      <c r="X12" s="40">
        <v>108</v>
      </c>
      <c r="Y12" s="40">
        <v>27</v>
      </c>
      <c r="Z12" s="40">
        <v>42</v>
      </c>
      <c r="AA12" s="40">
        <v>41</v>
      </c>
      <c r="AB12" s="46">
        <v>51</v>
      </c>
      <c r="AC12" s="46">
        <v>91</v>
      </c>
      <c r="AD12" s="47">
        <v>1924714</v>
      </c>
      <c r="AE12" s="46">
        <v>1836804</v>
      </c>
      <c r="AF12" s="48">
        <f t="shared" si="1"/>
        <v>3761518</v>
      </c>
      <c r="AG12" s="49">
        <f t="shared" si="2"/>
        <v>1.3558355961609116</v>
      </c>
      <c r="AH12" s="49">
        <f t="shared" si="3"/>
        <v>0.6048090159345243</v>
      </c>
    </row>
    <row r="13" spans="1:34">
      <c r="A13" s="28" t="s">
        <v>27</v>
      </c>
      <c r="B13" s="29">
        <v>2</v>
      </c>
      <c r="C13" s="29">
        <v>10</v>
      </c>
      <c r="D13" s="29">
        <v>17</v>
      </c>
      <c r="E13" s="29">
        <v>2</v>
      </c>
      <c r="F13" s="29">
        <v>2</v>
      </c>
      <c r="G13" s="29">
        <v>5</v>
      </c>
      <c r="H13" s="29">
        <v>7</v>
      </c>
      <c r="I13" s="29">
        <v>5</v>
      </c>
      <c r="J13" s="30">
        <v>50</v>
      </c>
      <c r="K13" s="75">
        <v>214</v>
      </c>
      <c r="L13" s="75">
        <v>735</v>
      </c>
      <c r="M13" s="75">
        <v>1817</v>
      </c>
      <c r="N13" s="75">
        <v>894</v>
      </c>
      <c r="O13" s="75">
        <v>676</v>
      </c>
      <c r="P13" s="75">
        <v>491</v>
      </c>
      <c r="Q13" s="75">
        <v>338</v>
      </c>
      <c r="R13" s="75">
        <v>194</v>
      </c>
      <c r="S13" s="87">
        <v>5359</v>
      </c>
      <c r="T13" s="29">
        <v>11</v>
      </c>
      <c r="U13" s="29">
        <v>12</v>
      </c>
      <c r="V13" s="29">
        <v>6</v>
      </c>
      <c r="W13" s="29">
        <v>21</v>
      </c>
      <c r="X13" s="40">
        <v>10</v>
      </c>
      <c r="Y13" s="40">
        <v>2</v>
      </c>
      <c r="Z13" s="40">
        <v>14</v>
      </c>
      <c r="AA13" s="40">
        <v>24</v>
      </c>
      <c r="AB13" s="46">
        <v>66</v>
      </c>
      <c r="AC13" s="46">
        <v>124</v>
      </c>
      <c r="AD13" s="47">
        <v>2802840</v>
      </c>
      <c r="AE13" s="46">
        <v>2690072</v>
      </c>
      <c r="AF13" s="48">
        <f t="shared" si="1"/>
        <v>5492912</v>
      </c>
      <c r="AG13" s="49">
        <f t="shared" si="2"/>
        <v>1.201548468280577</v>
      </c>
      <c r="AH13" s="49">
        <f t="shared" si="3"/>
        <v>0.56436367449542246</v>
      </c>
    </row>
    <row r="14" spans="1:34">
      <c r="A14" s="28" t="s">
        <v>28</v>
      </c>
      <c r="B14" s="29">
        <v>11</v>
      </c>
      <c r="C14" s="29">
        <v>21</v>
      </c>
      <c r="D14" s="29">
        <v>53</v>
      </c>
      <c r="E14" s="29">
        <v>37</v>
      </c>
      <c r="F14" s="29">
        <v>34</v>
      </c>
      <c r="G14" s="29">
        <v>31</v>
      </c>
      <c r="H14" s="29">
        <v>32</v>
      </c>
      <c r="I14" s="29">
        <v>26</v>
      </c>
      <c r="J14" s="30">
        <v>245</v>
      </c>
      <c r="K14" s="75">
        <v>202</v>
      </c>
      <c r="L14" s="75">
        <v>243</v>
      </c>
      <c r="M14" s="75">
        <v>520</v>
      </c>
      <c r="N14" s="75">
        <v>448</v>
      </c>
      <c r="O14" s="75">
        <v>286</v>
      </c>
      <c r="P14" s="75">
        <v>189</v>
      </c>
      <c r="Q14" s="75">
        <v>111</v>
      </c>
      <c r="R14" s="75">
        <v>34</v>
      </c>
      <c r="S14" s="87">
        <v>2033</v>
      </c>
      <c r="T14" s="29">
        <v>112</v>
      </c>
      <c r="U14" s="29">
        <v>54</v>
      </c>
      <c r="V14" s="29">
        <v>43</v>
      </c>
      <c r="W14" s="29">
        <v>36</v>
      </c>
      <c r="X14" s="40">
        <v>107</v>
      </c>
      <c r="Y14" s="40">
        <v>25</v>
      </c>
      <c r="Z14" s="40">
        <v>48</v>
      </c>
      <c r="AA14" s="40">
        <v>65</v>
      </c>
      <c r="AB14" s="46">
        <v>66</v>
      </c>
      <c r="AC14" s="46">
        <v>110</v>
      </c>
      <c r="AD14" s="47">
        <v>2464765</v>
      </c>
      <c r="AE14" s="46">
        <v>2328875</v>
      </c>
      <c r="AF14" s="48">
        <f t="shared" si="1"/>
        <v>4793640</v>
      </c>
      <c r="AG14" s="49">
        <f t="shared" si="2"/>
        <v>1.3768242921871479</v>
      </c>
      <c r="AH14" s="49">
        <f t="shared" si="3"/>
        <v>0.57367678841131164</v>
      </c>
    </row>
    <row r="15" spans="1:34">
      <c r="A15" s="28" t="s">
        <v>29</v>
      </c>
      <c r="B15" s="29">
        <v>6</v>
      </c>
      <c r="C15" s="29">
        <v>32</v>
      </c>
      <c r="D15" s="29">
        <v>84</v>
      </c>
      <c r="E15" s="29">
        <v>27</v>
      </c>
      <c r="F15" s="29">
        <v>37</v>
      </c>
      <c r="G15" s="29">
        <v>29</v>
      </c>
      <c r="H15" s="29">
        <v>33</v>
      </c>
      <c r="I15" s="29">
        <v>29</v>
      </c>
      <c r="J15" s="30">
        <v>277</v>
      </c>
      <c r="K15" s="75">
        <v>726</v>
      </c>
      <c r="L15" s="75">
        <v>856</v>
      </c>
      <c r="M15" s="75">
        <v>1411</v>
      </c>
      <c r="N15" s="75">
        <v>935</v>
      </c>
      <c r="O15" s="75">
        <v>752</v>
      </c>
      <c r="P15" s="75">
        <v>583</v>
      </c>
      <c r="Q15" s="75">
        <v>280</v>
      </c>
      <c r="R15" s="75">
        <v>143</v>
      </c>
      <c r="S15" s="87">
        <v>5686</v>
      </c>
      <c r="T15" s="29">
        <v>93</v>
      </c>
      <c r="U15" s="29">
        <v>74</v>
      </c>
      <c r="V15" s="29">
        <v>38</v>
      </c>
      <c r="W15" s="29">
        <v>72</v>
      </c>
      <c r="X15" s="40">
        <v>102</v>
      </c>
      <c r="Y15" s="40">
        <v>15</v>
      </c>
      <c r="Z15" s="40">
        <v>56</v>
      </c>
      <c r="AA15" s="40">
        <v>104</v>
      </c>
      <c r="AB15" s="46">
        <v>92</v>
      </c>
      <c r="AC15" s="46">
        <v>140</v>
      </c>
      <c r="AD15" s="47">
        <v>3588667</v>
      </c>
      <c r="AE15" s="46">
        <v>3382199</v>
      </c>
      <c r="AF15" s="48">
        <f t="shared" si="1"/>
        <v>6970866</v>
      </c>
      <c r="AG15" s="49">
        <f t="shared" si="2"/>
        <v>1.3197786329560774</v>
      </c>
      <c r="AH15" s="49">
        <f t="shared" si="3"/>
        <v>0.50208969732024689</v>
      </c>
    </row>
    <row r="16" spans="1:34">
      <c r="A16" s="28" t="s">
        <v>30</v>
      </c>
      <c r="B16" s="29">
        <v>32</v>
      </c>
      <c r="C16" s="29">
        <v>55</v>
      </c>
      <c r="D16" s="29">
        <v>137</v>
      </c>
      <c r="E16" s="29">
        <v>79</v>
      </c>
      <c r="F16" s="29">
        <v>93</v>
      </c>
      <c r="G16" s="29">
        <v>79</v>
      </c>
      <c r="H16" s="29">
        <v>76</v>
      </c>
      <c r="I16" s="29">
        <v>53</v>
      </c>
      <c r="J16" s="30">
        <v>604</v>
      </c>
      <c r="K16" s="75">
        <v>10</v>
      </c>
      <c r="L16" s="75">
        <v>31</v>
      </c>
      <c r="M16" s="75">
        <v>60</v>
      </c>
      <c r="N16" s="75">
        <v>43</v>
      </c>
      <c r="O16" s="75">
        <v>27</v>
      </c>
      <c r="P16" s="75">
        <v>20</v>
      </c>
      <c r="Q16" s="75">
        <v>3</v>
      </c>
      <c r="R16" s="75">
        <v>5</v>
      </c>
      <c r="S16" s="87">
        <v>199</v>
      </c>
      <c r="T16" s="29">
        <v>273</v>
      </c>
      <c r="U16" s="29">
        <v>77</v>
      </c>
      <c r="V16" s="29">
        <v>203</v>
      </c>
      <c r="W16" s="29">
        <v>51</v>
      </c>
      <c r="X16" s="40">
        <v>446</v>
      </c>
      <c r="Y16" s="40">
        <v>9</v>
      </c>
      <c r="Z16" s="40">
        <v>43</v>
      </c>
      <c r="AA16" s="40">
        <v>106</v>
      </c>
      <c r="AB16" s="46">
        <v>56</v>
      </c>
      <c r="AC16" s="46">
        <v>114</v>
      </c>
      <c r="AD16" s="47">
        <v>757107</v>
      </c>
      <c r="AE16" s="46">
        <v>715800</v>
      </c>
      <c r="AF16" s="48">
        <f t="shared" si="1"/>
        <v>1472907</v>
      </c>
      <c r="AG16" s="49">
        <f t="shared" si="2"/>
        <v>3.8020051503591197</v>
      </c>
      <c r="AH16" s="49">
        <f t="shared" si="3"/>
        <v>1.9349490497363377</v>
      </c>
    </row>
    <row r="17" spans="1:34">
      <c r="A17" s="28" t="s">
        <v>31</v>
      </c>
      <c r="B17" s="29">
        <v>20</v>
      </c>
      <c r="C17" s="29">
        <v>32</v>
      </c>
      <c r="D17" s="29">
        <v>67</v>
      </c>
      <c r="E17" s="29">
        <v>64</v>
      </c>
      <c r="F17" s="29">
        <v>73</v>
      </c>
      <c r="G17" s="29">
        <v>41</v>
      </c>
      <c r="H17" s="29">
        <v>44</v>
      </c>
      <c r="I17" s="29">
        <v>24</v>
      </c>
      <c r="J17" s="30">
        <v>365</v>
      </c>
      <c r="K17" s="75">
        <v>137</v>
      </c>
      <c r="L17" s="75">
        <v>443</v>
      </c>
      <c r="M17" s="75">
        <v>1198</v>
      </c>
      <c r="N17" s="75">
        <v>897</v>
      </c>
      <c r="O17" s="75">
        <v>653</v>
      </c>
      <c r="P17" s="75">
        <v>431</v>
      </c>
      <c r="Q17" s="75">
        <v>169</v>
      </c>
      <c r="R17" s="75">
        <v>111</v>
      </c>
      <c r="S17" s="87">
        <v>4039</v>
      </c>
      <c r="T17" s="29">
        <v>134</v>
      </c>
      <c r="U17" s="29">
        <v>70</v>
      </c>
      <c r="V17" s="29">
        <v>37</v>
      </c>
      <c r="W17" s="29">
        <v>124</v>
      </c>
      <c r="X17" s="40">
        <v>169</v>
      </c>
      <c r="Y17" s="40">
        <v>21</v>
      </c>
      <c r="Z17" s="40">
        <v>35</v>
      </c>
      <c r="AA17" s="40">
        <v>140</v>
      </c>
      <c r="AB17" s="46">
        <v>111</v>
      </c>
      <c r="AC17" s="46">
        <v>216</v>
      </c>
      <c r="AD17" s="47">
        <v>4978659</v>
      </c>
      <c r="AE17" s="46">
        <v>4655904</v>
      </c>
      <c r="AF17" s="48">
        <f t="shared" si="1"/>
        <v>9634563</v>
      </c>
      <c r="AG17" s="49">
        <f t="shared" si="2"/>
        <v>1.152102072507077</v>
      </c>
      <c r="AH17" s="49">
        <f t="shared" si="3"/>
        <v>0.56048208932776711</v>
      </c>
    </row>
    <row r="18" spans="1:34">
      <c r="A18" s="28" t="s">
        <v>32</v>
      </c>
      <c r="B18" s="29">
        <v>3</v>
      </c>
      <c r="C18" s="29">
        <v>6</v>
      </c>
      <c r="D18" s="29">
        <v>15</v>
      </c>
      <c r="E18" s="29">
        <v>13</v>
      </c>
      <c r="F18" s="29">
        <v>6</v>
      </c>
      <c r="G18" s="29">
        <v>9</v>
      </c>
      <c r="H18" s="29">
        <v>7</v>
      </c>
      <c r="I18" s="29">
        <v>1</v>
      </c>
      <c r="J18" s="30">
        <v>60</v>
      </c>
      <c r="K18" s="75">
        <v>60</v>
      </c>
      <c r="L18" s="75">
        <v>126</v>
      </c>
      <c r="M18" s="75">
        <v>398</v>
      </c>
      <c r="N18" s="75">
        <v>224</v>
      </c>
      <c r="O18" s="75">
        <v>195</v>
      </c>
      <c r="P18" s="75">
        <v>98</v>
      </c>
      <c r="Q18" s="75">
        <v>56</v>
      </c>
      <c r="R18" s="75">
        <v>18</v>
      </c>
      <c r="S18" s="87">
        <v>1175</v>
      </c>
      <c r="T18" s="29">
        <v>22</v>
      </c>
      <c r="U18" s="29">
        <v>24</v>
      </c>
      <c r="V18" s="29">
        <v>7</v>
      </c>
      <c r="W18" s="29">
        <v>7</v>
      </c>
      <c r="X18" s="40">
        <v>19</v>
      </c>
      <c r="Y18" s="40">
        <v>13</v>
      </c>
      <c r="Z18" s="40">
        <v>14</v>
      </c>
      <c r="AA18" s="40">
        <v>14</v>
      </c>
      <c r="AB18" s="46">
        <v>54</v>
      </c>
      <c r="AC18" s="46">
        <v>96</v>
      </c>
      <c r="AD18" s="47">
        <v>1880023</v>
      </c>
      <c r="AE18" s="46">
        <v>1773006</v>
      </c>
      <c r="AF18" s="48">
        <f t="shared" si="1"/>
        <v>3653029</v>
      </c>
      <c r="AG18" s="49">
        <f t="shared" si="2"/>
        <v>1.4782253302670196</v>
      </c>
      <c r="AH18" s="49">
        <f t="shared" si="3"/>
        <v>0.65698903567423084</v>
      </c>
    </row>
    <row r="19" spans="1:34">
      <c r="A19" s="28" t="s">
        <v>34</v>
      </c>
      <c r="B19" s="29">
        <v>6</v>
      </c>
      <c r="C19" s="29">
        <v>9</v>
      </c>
      <c r="D19" s="29">
        <v>28</v>
      </c>
      <c r="E19" s="29">
        <v>19</v>
      </c>
      <c r="F19" s="29">
        <v>8</v>
      </c>
      <c r="G19" s="29">
        <v>10</v>
      </c>
      <c r="H19" s="29">
        <v>11</v>
      </c>
      <c r="I19" s="29">
        <v>8</v>
      </c>
      <c r="J19" s="30">
        <v>99</v>
      </c>
      <c r="K19" s="75">
        <v>6</v>
      </c>
      <c r="L19" s="75">
        <v>33</v>
      </c>
      <c r="M19" s="75">
        <v>52</v>
      </c>
      <c r="N19" s="75">
        <v>36</v>
      </c>
      <c r="O19" s="75">
        <v>20</v>
      </c>
      <c r="P19" s="75">
        <v>16</v>
      </c>
      <c r="Q19" s="75">
        <v>8</v>
      </c>
      <c r="R19" s="75">
        <v>8</v>
      </c>
      <c r="S19" s="87">
        <v>179</v>
      </c>
      <c r="T19" s="29">
        <v>24</v>
      </c>
      <c r="U19" s="29">
        <v>42</v>
      </c>
      <c r="V19" s="29">
        <v>26</v>
      </c>
      <c r="W19" s="29">
        <v>7</v>
      </c>
      <c r="X19" s="40">
        <v>57</v>
      </c>
      <c r="Y19" s="40">
        <v>0</v>
      </c>
      <c r="Z19" s="40">
        <v>25</v>
      </c>
      <c r="AA19" s="40">
        <v>17</v>
      </c>
      <c r="AB19" s="46">
        <v>60</v>
      </c>
      <c r="AC19" s="46">
        <v>86</v>
      </c>
      <c r="AD19" s="47">
        <v>2155393</v>
      </c>
      <c r="AE19" s="46">
        <v>1991967</v>
      </c>
      <c r="AF19" s="48">
        <f t="shared" si="1"/>
        <v>4147360</v>
      </c>
      <c r="AG19" s="49">
        <f t="shared" si="2"/>
        <v>1.4467034450831373</v>
      </c>
      <c r="AH19" s="49">
        <f t="shared" si="3"/>
        <v>0.51840206782145748</v>
      </c>
    </row>
    <row r="20" spans="1:34">
      <c r="A20" s="28" t="s">
        <v>36</v>
      </c>
      <c r="B20" s="29">
        <v>15</v>
      </c>
      <c r="C20" s="29">
        <v>34</v>
      </c>
      <c r="D20" s="29">
        <v>58</v>
      </c>
      <c r="E20" s="29">
        <v>40</v>
      </c>
      <c r="F20" s="29">
        <v>39</v>
      </c>
      <c r="G20" s="29">
        <v>48</v>
      </c>
      <c r="H20" s="29">
        <v>31</v>
      </c>
      <c r="I20" s="29">
        <v>23</v>
      </c>
      <c r="J20" s="30">
        <v>288</v>
      </c>
      <c r="K20" s="75">
        <v>50</v>
      </c>
      <c r="L20" s="75">
        <v>72</v>
      </c>
      <c r="M20" s="75">
        <v>223</v>
      </c>
      <c r="N20" s="75">
        <v>160</v>
      </c>
      <c r="O20" s="75">
        <v>108</v>
      </c>
      <c r="P20" s="75">
        <v>87</v>
      </c>
      <c r="Q20" s="75">
        <v>45</v>
      </c>
      <c r="R20" s="75">
        <v>19</v>
      </c>
      <c r="S20" s="87">
        <v>764</v>
      </c>
      <c r="T20" s="29">
        <v>67</v>
      </c>
      <c r="U20" s="29">
        <v>80</v>
      </c>
      <c r="V20" s="29">
        <v>114</v>
      </c>
      <c r="W20" s="29">
        <v>27</v>
      </c>
      <c r="X20" s="40">
        <v>155</v>
      </c>
      <c r="Y20" s="40">
        <v>19</v>
      </c>
      <c r="Z20" s="40">
        <v>55</v>
      </c>
      <c r="AA20" s="40">
        <v>59</v>
      </c>
      <c r="AB20" s="46">
        <v>61</v>
      </c>
      <c r="AC20" s="46">
        <v>115</v>
      </c>
      <c r="AD20" s="47">
        <v>3321272</v>
      </c>
      <c r="AE20" s="46">
        <v>3131535</v>
      </c>
      <c r="AF20" s="48">
        <f t="shared" si="1"/>
        <v>6452807</v>
      </c>
      <c r="AG20" s="49">
        <f t="shared" si="2"/>
        <v>0.9453250345159866</v>
      </c>
      <c r="AH20" s="49">
        <f t="shared" si="3"/>
        <v>0.44554253675958383</v>
      </c>
    </row>
    <row r="21" spans="1:34">
      <c r="A21" s="28" t="s">
        <v>37</v>
      </c>
      <c r="B21" s="29">
        <v>14</v>
      </c>
      <c r="C21" s="29">
        <v>19</v>
      </c>
      <c r="D21" s="29">
        <v>23</v>
      </c>
      <c r="E21" s="29">
        <v>14</v>
      </c>
      <c r="F21" s="29">
        <v>19</v>
      </c>
      <c r="G21" s="29">
        <v>7</v>
      </c>
      <c r="H21" s="29">
        <v>9</v>
      </c>
      <c r="I21" s="29">
        <v>6</v>
      </c>
      <c r="J21" s="30">
        <v>111</v>
      </c>
      <c r="K21" s="75">
        <v>234</v>
      </c>
      <c r="L21" s="75">
        <v>983</v>
      </c>
      <c r="M21" s="75">
        <v>1428</v>
      </c>
      <c r="N21" s="75">
        <v>878</v>
      </c>
      <c r="O21" s="75">
        <v>714</v>
      </c>
      <c r="P21" s="75">
        <v>393</v>
      </c>
      <c r="Q21" s="75">
        <v>233</v>
      </c>
      <c r="R21" s="75">
        <v>115</v>
      </c>
      <c r="S21" s="87">
        <v>4978</v>
      </c>
      <c r="T21" s="29">
        <v>29</v>
      </c>
      <c r="U21" s="29">
        <v>13</v>
      </c>
      <c r="V21" s="29">
        <v>40</v>
      </c>
      <c r="W21" s="29">
        <v>29</v>
      </c>
      <c r="X21" s="40">
        <v>54</v>
      </c>
      <c r="Y21" s="40">
        <v>9</v>
      </c>
      <c r="Z21" s="40">
        <v>7</v>
      </c>
      <c r="AA21" s="40">
        <v>41</v>
      </c>
      <c r="AB21" s="46">
        <v>68</v>
      </c>
      <c r="AC21" s="46">
        <v>128</v>
      </c>
      <c r="AD21" s="47">
        <v>2660363</v>
      </c>
      <c r="AE21" s="46">
        <v>2497652</v>
      </c>
      <c r="AF21" s="48">
        <f t="shared" si="1"/>
        <v>5158015</v>
      </c>
      <c r="AG21" s="49">
        <f t="shared" si="2"/>
        <v>1.3183366081719421</v>
      </c>
      <c r="AH21" s="49">
        <f t="shared" si="3"/>
        <v>0.62039369796326693</v>
      </c>
    </row>
    <row r="22" spans="1:34">
      <c r="A22" s="28" t="s">
        <v>39</v>
      </c>
      <c r="B22" s="29">
        <v>12</v>
      </c>
      <c r="C22" s="29">
        <v>12</v>
      </c>
      <c r="D22" s="29">
        <v>27</v>
      </c>
      <c r="E22" s="29">
        <v>14</v>
      </c>
      <c r="F22" s="29">
        <v>13</v>
      </c>
      <c r="G22" s="29">
        <v>10</v>
      </c>
      <c r="H22" s="29">
        <v>11</v>
      </c>
      <c r="I22" s="29">
        <v>11</v>
      </c>
      <c r="J22" s="30">
        <v>110</v>
      </c>
      <c r="K22" s="75">
        <v>284</v>
      </c>
      <c r="L22" s="75">
        <v>1097</v>
      </c>
      <c r="M22" s="75">
        <v>1821</v>
      </c>
      <c r="N22" s="75">
        <v>817</v>
      </c>
      <c r="O22" s="75">
        <v>524</v>
      </c>
      <c r="P22" s="75">
        <v>350</v>
      </c>
      <c r="Q22" s="75">
        <v>251</v>
      </c>
      <c r="R22" s="75">
        <v>101</v>
      </c>
      <c r="S22" s="87">
        <v>5245</v>
      </c>
      <c r="T22" s="29">
        <v>40</v>
      </c>
      <c r="U22" s="29">
        <v>13</v>
      </c>
      <c r="V22" s="29">
        <v>13</v>
      </c>
      <c r="W22" s="29">
        <v>44</v>
      </c>
      <c r="X22" s="40">
        <v>30</v>
      </c>
      <c r="Y22" s="40">
        <v>15</v>
      </c>
      <c r="Z22" s="40">
        <v>11</v>
      </c>
      <c r="AA22" s="40">
        <v>54</v>
      </c>
      <c r="AB22" s="46">
        <v>62</v>
      </c>
      <c r="AC22" s="46">
        <v>117</v>
      </c>
      <c r="AD22" s="47">
        <v>3013121</v>
      </c>
      <c r="AE22" s="46">
        <v>2821193</v>
      </c>
      <c r="AF22" s="48">
        <f t="shared" si="1"/>
        <v>5834314</v>
      </c>
      <c r="AG22" s="49">
        <f t="shared" si="2"/>
        <v>1.0626784914216136</v>
      </c>
      <c r="AH22" s="49">
        <f t="shared" si="3"/>
        <v>0.50134428829164834</v>
      </c>
    </row>
    <row r="23" spans="1:34">
      <c r="A23" s="28" t="s">
        <v>41</v>
      </c>
      <c r="B23" s="29">
        <v>4</v>
      </c>
      <c r="C23" s="29">
        <v>7</v>
      </c>
      <c r="D23" s="29">
        <v>20</v>
      </c>
      <c r="E23" s="29">
        <v>7</v>
      </c>
      <c r="F23" s="29">
        <v>9</v>
      </c>
      <c r="G23" s="29">
        <v>7</v>
      </c>
      <c r="H23" s="29">
        <v>4</v>
      </c>
      <c r="I23" s="29">
        <v>3</v>
      </c>
      <c r="J23" s="30">
        <v>61</v>
      </c>
      <c r="K23" s="75">
        <v>39</v>
      </c>
      <c r="L23" s="75">
        <v>121</v>
      </c>
      <c r="M23" s="75">
        <v>309</v>
      </c>
      <c r="N23" s="75">
        <v>173</v>
      </c>
      <c r="O23" s="75">
        <v>105</v>
      </c>
      <c r="P23" s="75">
        <v>107</v>
      </c>
      <c r="Q23" s="75">
        <v>52</v>
      </c>
      <c r="R23" s="75">
        <v>18</v>
      </c>
      <c r="S23" s="87">
        <v>924</v>
      </c>
      <c r="T23" s="29">
        <v>17</v>
      </c>
      <c r="U23" s="29">
        <v>21</v>
      </c>
      <c r="V23" s="29">
        <v>10</v>
      </c>
      <c r="W23" s="29">
        <v>13</v>
      </c>
      <c r="X23" s="40">
        <v>11</v>
      </c>
      <c r="Y23" s="40">
        <v>12</v>
      </c>
      <c r="Z23" s="40">
        <v>21</v>
      </c>
      <c r="AA23" s="40">
        <v>17</v>
      </c>
      <c r="AB23" s="46">
        <v>66</v>
      </c>
      <c r="AC23" s="46">
        <v>104</v>
      </c>
      <c r="AD23" s="47">
        <v>1899284</v>
      </c>
      <c r="AE23" s="46">
        <v>1805199</v>
      </c>
      <c r="AF23" s="48">
        <f t="shared" si="1"/>
        <v>3704483</v>
      </c>
      <c r="AG23" s="49">
        <f t="shared" si="2"/>
        <v>1.7816251282567632</v>
      </c>
      <c r="AH23" s="49">
        <f t="shared" si="3"/>
        <v>0.70185232325266433</v>
      </c>
    </row>
    <row r="24" spans="1:34">
      <c r="A24" s="28" t="s">
        <v>42</v>
      </c>
      <c r="B24" s="29">
        <v>9</v>
      </c>
      <c r="C24" s="29">
        <v>18</v>
      </c>
      <c r="D24" s="29">
        <v>37</v>
      </c>
      <c r="E24" s="29">
        <v>42</v>
      </c>
      <c r="F24" s="29">
        <v>22</v>
      </c>
      <c r="G24" s="29">
        <v>20</v>
      </c>
      <c r="H24" s="29">
        <v>15</v>
      </c>
      <c r="I24" s="29">
        <v>14</v>
      </c>
      <c r="J24" s="30">
        <v>177</v>
      </c>
      <c r="K24" s="75">
        <v>2</v>
      </c>
      <c r="L24" s="75">
        <v>10</v>
      </c>
      <c r="M24" s="75">
        <v>37</v>
      </c>
      <c r="N24" s="75">
        <v>24</v>
      </c>
      <c r="O24" s="75">
        <v>13</v>
      </c>
      <c r="P24" s="75">
        <v>12</v>
      </c>
      <c r="Q24" s="75">
        <v>8</v>
      </c>
      <c r="R24" s="75">
        <v>1</v>
      </c>
      <c r="S24" s="87">
        <v>107</v>
      </c>
      <c r="T24" s="29">
        <v>28</v>
      </c>
      <c r="U24" s="29">
        <v>44</v>
      </c>
      <c r="V24" s="29">
        <v>69</v>
      </c>
      <c r="W24" s="29">
        <v>36</v>
      </c>
      <c r="X24" s="40">
        <v>97</v>
      </c>
      <c r="Y24" s="40">
        <v>9</v>
      </c>
      <c r="Z24" s="40">
        <v>14</v>
      </c>
      <c r="AA24" s="40">
        <v>57</v>
      </c>
      <c r="AB24" s="46">
        <v>56</v>
      </c>
      <c r="AC24" s="46">
        <v>124</v>
      </c>
      <c r="AD24" s="47">
        <v>852758</v>
      </c>
      <c r="AE24" s="46">
        <v>828372</v>
      </c>
      <c r="AF24" s="48">
        <f t="shared" si="1"/>
        <v>1681130</v>
      </c>
      <c r="AG24" s="49">
        <f t="shared" si="2"/>
        <v>3.3310927768822158</v>
      </c>
      <c r="AH24" s="49">
        <f t="shared" si="3"/>
        <v>1.8439977872026556</v>
      </c>
    </row>
    <row r="25" spans="1:34">
      <c r="A25" s="28" t="s">
        <v>43</v>
      </c>
      <c r="B25" s="29">
        <v>2</v>
      </c>
      <c r="C25" s="29">
        <v>1</v>
      </c>
      <c r="D25" s="29">
        <v>5</v>
      </c>
      <c r="E25" s="29">
        <v>2</v>
      </c>
      <c r="F25" s="29">
        <v>2</v>
      </c>
      <c r="G25" s="29">
        <v>3</v>
      </c>
      <c r="H25" s="29">
        <v>1</v>
      </c>
      <c r="I25" s="29">
        <v>2</v>
      </c>
      <c r="J25" s="30">
        <v>18</v>
      </c>
      <c r="K25" s="75">
        <v>0</v>
      </c>
      <c r="L25" s="75">
        <v>0</v>
      </c>
      <c r="M25" s="75">
        <v>0</v>
      </c>
      <c r="N25" s="75">
        <v>0</v>
      </c>
      <c r="O25" s="75">
        <v>0</v>
      </c>
      <c r="P25" s="75">
        <v>0</v>
      </c>
      <c r="Q25" s="75">
        <v>0</v>
      </c>
      <c r="R25" s="75">
        <v>0</v>
      </c>
      <c r="S25" s="87">
        <v>0</v>
      </c>
      <c r="T25" s="29">
        <v>8</v>
      </c>
      <c r="U25" s="29">
        <v>7</v>
      </c>
      <c r="V25" s="29">
        <v>3</v>
      </c>
      <c r="W25" s="29">
        <v>0</v>
      </c>
      <c r="X25" s="40">
        <v>8</v>
      </c>
      <c r="Y25" s="40">
        <v>1</v>
      </c>
      <c r="Z25" s="40">
        <v>7</v>
      </c>
      <c r="AA25" s="40">
        <v>2</v>
      </c>
      <c r="AB25" s="46">
        <v>43</v>
      </c>
      <c r="AC25" s="46">
        <v>86</v>
      </c>
      <c r="AD25" s="47">
        <v>732395</v>
      </c>
      <c r="AE25" s="46">
        <v>690884</v>
      </c>
      <c r="AF25" s="48">
        <f t="shared" si="1"/>
        <v>1423279</v>
      </c>
      <c r="AG25" s="49">
        <f t="shared" si="2"/>
        <v>3.0211926122706791</v>
      </c>
      <c r="AH25" s="49">
        <f t="shared" si="3"/>
        <v>1.5105963061353396</v>
      </c>
    </row>
    <row r="26" spans="1:34">
      <c r="A26" s="28" t="s">
        <v>45</v>
      </c>
      <c r="B26" s="29">
        <v>9</v>
      </c>
      <c r="C26" s="29">
        <v>25</v>
      </c>
      <c r="D26" s="29">
        <v>56</v>
      </c>
      <c r="E26" s="29">
        <v>57</v>
      </c>
      <c r="F26" s="29">
        <v>57</v>
      </c>
      <c r="G26" s="29">
        <v>28</v>
      </c>
      <c r="H26" s="29">
        <v>22</v>
      </c>
      <c r="I26" s="29">
        <v>21</v>
      </c>
      <c r="J26" s="30">
        <v>275</v>
      </c>
      <c r="K26" s="75">
        <v>79</v>
      </c>
      <c r="L26" s="75">
        <v>254</v>
      </c>
      <c r="M26" s="75">
        <v>685</v>
      </c>
      <c r="N26" s="75">
        <v>546</v>
      </c>
      <c r="O26" s="75">
        <v>409</v>
      </c>
      <c r="P26" s="75">
        <v>200</v>
      </c>
      <c r="Q26" s="75">
        <v>89</v>
      </c>
      <c r="R26" s="75">
        <v>27</v>
      </c>
      <c r="S26" s="87">
        <v>2289</v>
      </c>
      <c r="T26" s="29">
        <v>78</v>
      </c>
      <c r="U26" s="29">
        <v>76</v>
      </c>
      <c r="V26" s="29">
        <v>105</v>
      </c>
      <c r="W26" s="29">
        <v>16</v>
      </c>
      <c r="X26" s="40">
        <v>234</v>
      </c>
      <c r="Y26" s="40">
        <v>1</v>
      </c>
      <c r="Z26" s="40">
        <v>16</v>
      </c>
      <c r="AA26" s="40">
        <v>24</v>
      </c>
      <c r="AB26" s="46">
        <v>52</v>
      </c>
      <c r="AC26" s="46">
        <v>108</v>
      </c>
      <c r="AD26" s="47">
        <v>211970</v>
      </c>
      <c r="AE26" s="46">
        <v>197998</v>
      </c>
      <c r="AF26" s="48">
        <f t="shared" si="1"/>
        <v>409968</v>
      </c>
      <c r="AG26" s="49">
        <f t="shared" si="2"/>
        <v>12.683916793505833</v>
      </c>
      <c r="AH26" s="49">
        <f t="shared" si="3"/>
        <v>6.5858798735511064</v>
      </c>
    </row>
    <row r="27" spans="1:34">
      <c r="A27" s="28" t="s">
        <v>47</v>
      </c>
      <c r="B27" s="29">
        <v>4</v>
      </c>
      <c r="C27" s="29">
        <v>5</v>
      </c>
      <c r="D27" s="29">
        <v>12</v>
      </c>
      <c r="E27" s="29">
        <v>14</v>
      </c>
      <c r="F27" s="29">
        <v>7</v>
      </c>
      <c r="G27" s="29">
        <v>6</v>
      </c>
      <c r="H27" s="29">
        <v>4</v>
      </c>
      <c r="I27" s="29">
        <v>5</v>
      </c>
      <c r="J27" s="30">
        <v>57</v>
      </c>
      <c r="K27" s="75">
        <v>13</v>
      </c>
      <c r="L27" s="75">
        <v>66</v>
      </c>
      <c r="M27" s="75">
        <v>191</v>
      </c>
      <c r="N27" s="75">
        <v>114</v>
      </c>
      <c r="O27" s="75">
        <v>77</v>
      </c>
      <c r="P27" s="75">
        <v>62</v>
      </c>
      <c r="Q27" s="75">
        <v>32</v>
      </c>
      <c r="R27" s="75">
        <v>13</v>
      </c>
      <c r="S27" s="87">
        <v>568</v>
      </c>
      <c r="T27" s="29">
        <v>2</v>
      </c>
      <c r="U27" s="29">
        <v>23</v>
      </c>
      <c r="V27" s="29">
        <v>22</v>
      </c>
      <c r="W27" s="29">
        <v>10</v>
      </c>
      <c r="X27" s="40">
        <v>14</v>
      </c>
      <c r="Y27" s="40">
        <v>0</v>
      </c>
      <c r="Z27" s="40">
        <v>13</v>
      </c>
      <c r="AA27" s="40">
        <v>30</v>
      </c>
      <c r="AB27" s="46">
        <v>57</v>
      </c>
      <c r="AC27" s="46">
        <v>91</v>
      </c>
      <c r="AD27" s="47">
        <v>138643</v>
      </c>
      <c r="AE27" s="46">
        <v>132192</v>
      </c>
      <c r="AF27" s="48">
        <f t="shared" si="1"/>
        <v>270835</v>
      </c>
      <c r="AG27" s="49">
        <f t="shared" si="2"/>
        <v>21.046024332157955</v>
      </c>
      <c r="AH27" s="49">
        <f t="shared" si="3"/>
        <v>8.399948308010412</v>
      </c>
    </row>
    <row r="28" spans="1:34">
      <c r="A28" s="28" t="s">
        <v>48</v>
      </c>
      <c r="B28" s="29">
        <v>1</v>
      </c>
      <c r="C28" s="29">
        <v>0</v>
      </c>
      <c r="D28" s="29">
        <v>10</v>
      </c>
      <c r="E28" s="29">
        <v>9</v>
      </c>
      <c r="F28" s="29">
        <v>15</v>
      </c>
      <c r="G28" s="29">
        <v>6</v>
      </c>
      <c r="H28" s="29">
        <v>3</v>
      </c>
      <c r="I28" s="29">
        <v>3</v>
      </c>
      <c r="J28" s="30">
        <v>47</v>
      </c>
      <c r="K28" s="75">
        <v>102</v>
      </c>
      <c r="L28" s="75">
        <v>322</v>
      </c>
      <c r="M28" s="75">
        <v>566</v>
      </c>
      <c r="N28" s="75">
        <v>417</v>
      </c>
      <c r="O28" s="75">
        <v>257</v>
      </c>
      <c r="P28" s="75">
        <v>141</v>
      </c>
      <c r="Q28" s="75">
        <v>73</v>
      </c>
      <c r="R28" s="75">
        <v>50</v>
      </c>
      <c r="S28" s="87">
        <v>1928</v>
      </c>
      <c r="T28" s="29">
        <v>11</v>
      </c>
      <c r="U28" s="29">
        <v>14</v>
      </c>
      <c r="V28" s="29">
        <v>16</v>
      </c>
      <c r="W28" s="29">
        <v>6</v>
      </c>
      <c r="X28" s="40">
        <v>35</v>
      </c>
      <c r="Y28" s="40">
        <v>0</v>
      </c>
      <c r="Z28" s="40">
        <v>5</v>
      </c>
      <c r="AA28" s="40">
        <v>7</v>
      </c>
      <c r="AB28" s="46">
        <v>65</v>
      </c>
      <c r="AC28" s="46">
        <v>128</v>
      </c>
      <c r="AD28" s="47">
        <v>293734</v>
      </c>
      <c r="AE28" s="46">
        <v>272546</v>
      </c>
      <c r="AF28" s="48">
        <f t="shared" si="1"/>
        <v>566280</v>
      </c>
      <c r="AG28" s="49">
        <f t="shared" si="2"/>
        <v>11.478420569329661</v>
      </c>
      <c r="AH28" s="49">
        <f t="shared" si="3"/>
        <v>5.6509147418238328</v>
      </c>
    </row>
    <row r="29" spans="1:34">
      <c r="A29" s="28" t="s">
        <v>49</v>
      </c>
      <c r="B29" s="29">
        <v>1</v>
      </c>
      <c r="C29" s="29">
        <v>2</v>
      </c>
      <c r="D29" s="29">
        <v>1</v>
      </c>
      <c r="E29" s="29">
        <v>2</v>
      </c>
      <c r="F29" s="29">
        <v>0</v>
      </c>
      <c r="G29" s="29">
        <v>1</v>
      </c>
      <c r="H29" s="29">
        <v>0</v>
      </c>
      <c r="I29" s="29">
        <v>0</v>
      </c>
      <c r="J29" s="30">
        <v>7</v>
      </c>
      <c r="K29" s="75">
        <v>71</v>
      </c>
      <c r="L29" s="75">
        <v>115</v>
      </c>
      <c r="M29" s="75">
        <v>164</v>
      </c>
      <c r="N29" s="75">
        <v>92</v>
      </c>
      <c r="O29" s="75">
        <v>78</v>
      </c>
      <c r="P29" s="75">
        <v>52</v>
      </c>
      <c r="Q29" s="75">
        <v>23</v>
      </c>
      <c r="R29" s="75">
        <v>10</v>
      </c>
      <c r="S29" s="87">
        <v>605</v>
      </c>
      <c r="T29" s="29">
        <v>2</v>
      </c>
      <c r="U29" s="29">
        <v>2</v>
      </c>
      <c r="V29" s="29">
        <v>3</v>
      </c>
      <c r="W29" s="29">
        <v>0</v>
      </c>
      <c r="X29" s="40">
        <v>7</v>
      </c>
      <c r="Y29" s="40">
        <v>0</v>
      </c>
      <c r="Z29" s="40">
        <v>0</v>
      </c>
      <c r="AA29" s="40">
        <v>0</v>
      </c>
      <c r="AB29" s="46">
        <v>51</v>
      </c>
      <c r="AC29" s="46">
        <v>109</v>
      </c>
      <c r="AD29" s="47">
        <v>262785</v>
      </c>
      <c r="AE29" s="46">
        <v>253479</v>
      </c>
      <c r="AF29" s="48">
        <f t="shared" si="1"/>
        <v>516264</v>
      </c>
      <c r="AG29" s="49">
        <f t="shared" si="2"/>
        <v>9.8786667286504581</v>
      </c>
      <c r="AH29" s="49">
        <f t="shared" si="3"/>
        <v>5.2783072226612742</v>
      </c>
    </row>
    <row r="30" spans="1:34">
      <c r="A30" s="31" t="s">
        <v>51</v>
      </c>
      <c r="B30" s="32">
        <v>1</v>
      </c>
      <c r="C30" s="32">
        <v>2</v>
      </c>
      <c r="D30" s="32">
        <v>17</v>
      </c>
      <c r="E30" s="32">
        <v>10</v>
      </c>
      <c r="F30" s="32">
        <v>7</v>
      </c>
      <c r="G30" s="32">
        <v>5</v>
      </c>
      <c r="H30" s="32">
        <v>7</v>
      </c>
      <c r="I30" s="32">
        <v>2</v>
      </c>
      <c r="J30" s="33">
        <v>51</v>
      </c>
      <c r="K30" s="69">
        <v>17</v>
      </c>
      <c r="L30" s="69">
        <v>24</v>
      </c>
      <c r="M30" s="69">
        <v>78</v>
      </c>
      <c r="N30" s="69">
        <v>74</v>
      </c>
      <c r="O30" s="69">
        <v>59</v>
      </c>
      <c r="P30" s="69">
        <v>42</v>
      </c>
      <c r="Q30" s="69">
        <v>19</v>
      </c>
      <c r="R30" s="69">
        <v>9</v>
      </c>
      <c r="S30" s="70">
        <v>322</v>
      </c>
      <c r="T30" s="32">
        <v>12</v>
      </c>
      <c r="U30" s="32">
        <v>19</v>
      </c>
      <c r="V30" s="32">
        <v>14</v>
      </c>
      <c r="W30" s="32">
        <v>6</v>
      </c>
      <c r="X30" s="41">
        <v>36</v>
      </c>
      <c r="Y30" s="42">
        <v>0</v>
      </c>
      <c r="Z30" s="42">
        <v>3</v>
      </c>
      <c r="AA30" s="42">
        <v>12</v>
      </c>
      <c r="AB30" s="50">
        <v>46</v>
      </c>
      <c r="AC30" s="50">
        <v>86</v>
      </c>
      <c r="AD30" s="51">
        <v>60488</v>
      </c>
      <c r="AE30" s="50">
        <v>58171</v>
      </c>
      <c r="AF30" s="52">
        <f t="shared" si="1"/>
        <v>118659</v>
      </c>
      <c r="AG30" s="53">
        <f t="shared" si="2"/>
        <v>38.766549524267013</v>
      </c>
      <c r="AH30" s="53">
        <f t="shared" si="3"/>
        <v>18.119148147211757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533A1-37B5-493A-884E-83529881AD32}">
  <dimension ref="A1:T7"/>
  <sheetViews>
    <sheetView topLeftCell="F1" zoomScale="72" workbookViewId="0">
      <selection activeCell="L20" sqref="L20"/>
    </sheetView>
  </sheetViews>
  <sheetFormatPr defaultRowHeight="14.4"/>
  <sheetData>
    <row r="1" spans="1:20">
      <c r="A1" t="s">
        <v>92</v>
      </c>
    </row>
    <row r="2" spans="1:20" ht="69">
      <c r="A2" s="54" t="s">
        <v>88</v>
      </c>
      <c r="B2" s="54" t="s">
        <v>89</v>
      </c>
      <c r="C2" s="54" t="s">
        <v>2</v>
      </c>
      <c r="D2" s="54" t="s">
        <v>3</v>
      </c>
      <c r="E2" s="54" t="s">
        <v>4</v>
      </c>
      <c r="F2" s="54" t="s">
        <v>5</v>
      </c>
      <c r="G2" s="54" t="s">
        <v>6</v>
      </c>
      <c r="H2" s="54" t="s">
        <v>7</v>
      </c>
      <c r="I2" s="54" t="s">
        <v>8</v>
      </c>
      <c r="J2" s="54" t="s">
        <v>9</v>
      </c>
      <c r="K2" s="55" t="s">
        <v>10</v>
      </c>
      <c r="L2" s="55" t="s">
        <v>11</v>
      </c>
      <c r="M2" s="55" t="s">
        <v>12</v>
      </c>
      <c r="N2" s="54" t="s">
        <v>13</v>
      </c>
      <c r="O2" s="54" t="s">
        <v>14</v>
      </c>
      <c r="P2" s="22" t="s">
        <v>78</v>
      </c>
      <c r="Q2" s="22" t="s">
        <v>79</v>
      </c>
      <c r="R2" s="22" t="s">
        <v>97</v>
      </c>
      <c r="S2" s="22" t="s">
        <v>98</v>
      </c>
      <c r="T2" s="77" t="s">
        <v>90</v>
      </c>
    </row>
    <row r="3" spans="1:20">
      <c r="A3" s="74">
        <v>61853</v>
      </c>
      <c r="B3" s="74">
        <v>14509</v>
      </c>
      <c r="C3" s="56">
        <v>5989</v>
      </c>
      <c r="D3" s="56">
        <v>5241</v>
      </c>
      <c r="E3" s="56">
        <v>6478</v>
      </c>
      <c r="F3" s="56">
        <v>6724</v>
      </c>
      <c r="G3" s="56">
        <v>6097</v>
      </c>
      <c r="H3" s="56">
        <v>6063</v>
      </c>
      <c r="I3" s="56">
        <v>6392</v>
      </c>
      <c r="J3" s="56">
        <v>6856</v>
      </c>
      <c r="K3" s="56">
        <v>6722</v>
      </c>
      <c r="L3" s="56">
        <v>7155</v>
      </c>
      <c r="M3" s="56">
        <v>6245</v>
      </c>
      <c r="N3" s="56">
        <v>6400</v>
      </c>
      <c r="O3" s="57">
        <v>76362</v>
      </c>
      <c r="P3" s="26">
        <v>4226</v>
      </c>
      <c r="Q3" s="26">
        <v>16820</v>
      </c>
      <c r="R3" s="26">
        <v>131</v>
      </c>
      <c r="S3" s="26">
        <v>55185</v>
      </c>
      <c r="T3" s="62">
        <v>2024</v>
      </c>
    </row>
    <row r="4" spans="1:20">
      <c r="A4" s="75">
        <v>57198</v>
      </c>
      <c r="B4" s="75">
        <v>13531</v>
      </c>
      <c r="C4" s="58">
        <v>5396</v>
      </c>
      <c r="D4" s="58">
        <v>4690</v>
      </c>
      <c r="E4" s="58">
        <v>5798</v>
      </c>
      <c r="F4" s="58">
        <v>6163</v>
      </c>
      <c r="G4" s="58">
        <v>6054</v>
      </c>
      <c r="H4" s="58">
        <v>6001</v>
      </c>
      <c r="I4" s="58">
        <v>6103</v>
      </c>
      <c r="J4" s="58">
        <v>6089</v>
      </c>
      <c r="K4" s="58">
        <v>6201</v>
      </c>
      <c r="L4" s="58">
        <v>6723</v>
      </c>
      <c r="M4" s="58">
        <v>6156</v>
      </c>
      <c r="N4" s="58">
        <v>5642</v>
      </c>
      <c r="O4" s="59">
        <v>71016</v>
      </c>
      <c r="P4" s="29">
        <v>18767</v>
      </c>
      <c r="Q4" s="29">
        <v>151</v>
      </c>
      <c r="R4" s="29">
        <v>23907</v>
      </c>
      <c r="S4" s="29">
        <v>28191</v>
      </c>
      <c r="T4" s="63">
        <v>2023</v>
      </c>
    </row>
    <row r="5" spans="1:20">
      <c r="A5" s="75">
        <v>45400</v>
      </c>
      <c r="B5" s="75">
        <v>10591</v>
      </c>
      <c r="C5" s="58">
        <v>3097</v>
      </c>
      <c r="D5" s="58">
        <v>2771</v>
      </c>
      <c r="E5" s="58">
        <v>3981</v>
      </c>
      <c r="F5" s="58">
        <v>4717</v>
      </c>
      <c r="G5" s="58">
        <v>5291</v>
      </c>
      <c r="H5" s="58">
        <v>4987</v>
      </c>
      <c r="I5" s="58">
        <v>4949</v>
      </c>
      <c r="J5" s="58">
        <v>5144</v>
      </c>
      <c r="K5" s="58">
        <v>5285</v>
      </c>
      <c r="L5" s="58">
        <v>5686</v>
      </c>
      <c r="M5" s="58">
        <v>5021</v>
      </c>
      <c r="N5" s="58">
        <v>5062</v>
      </c>
      <c r="O5" s="59">
        <v>55991</v>
      </c>
      <c r="P5" s="29">
        <v>16647</v>
      </c>
      <c r="Q5" s="29">
        <v>83</v>
      </c>
      <c r="R5" s="29">
        <v>14269</v>
      </c>
      <c r="S5" s="29">
        <v>24992</v>
      </c>
      <c r="T5" s="63">
        <v>2022</v>
      </c>
    </row>
    <row r="6" spans="1:20">
      <c r="A6" s="75">
        <v>41670</v>
      </c>
      <c r="B6" s="75">
        <v>9331</v>
      </c>
      <c r="C6" s="58">
        <v>4207</v>
      </c>
      <c r="D6" s="58">
        <v>4000</v>
      </c>
      <c r="E6" s="58">
        <v>4431</v>
      </c>
      <c r="F6" s="58">
        <v>4395</v>
      </c>
      <c r="G6" s="58">
        <v>4249</v>
      </c>
      <c r="H6" s="58">
        <v>4157</v>
      </c>
      <c r="I6" s="58">
        <v>4918</v>
      </c>
      <c r="J6" s="58">
        <v>4569</v>
      </c>
      <c r="K6" s="58">
        <v>4811</v>
      </c>
      <c r="L6" s="58">
        <v>4177</v>
      </c>
      <c r="M6" s="58">
        <v>3887</v>
      </c>
      <c r="N6" s="58">
        <v>3710</v>
      </c>
      <c r="O6" s="59">
        <v>51511</v>
      </c>
      <c r="P6" s="29">
        <v>16238</v>
      </c>
      <c r="Q6" s="29">
        <v>162</v>
      </c>
      <c r="R6" s="29">
        <v>12904</v>
      </c>
      <c r="S6" s="29">
        <v>22207</v>
      </c>
      <c r="T6" s="63">
        <v>2021</v>
      </c>
    </row>
    <row r="7" spans="1:20">
      <c r="A7" s="76">
        <v>46324</v>
      </c>
      <c r="B7" s="76">
        <v>10222</v>
      </c>
      <c r="C7" s="60">
        <v>6495</v>
      </c>
      <c r="D7" s="60">
        <v>5806</v>
      </c>
      <c r="E7" s="60">
        <v>4388</v>
      </c>
      <c r="F7" s="60">
        <v>3813</v>
      </c>
      <c r="G7" s="60">
        <v>3736</v>
      </c>
      <c r="H7" s="60">
        <v>3282</v>
      </c>
      <c r="I7" s="60">
        <v>3738</v>
      </c>
      <c r="J7" s="60">
        <v>4859</v>
      </c>
      <c r="K7" s="60">
        <v>4827</v>
      </c>
      <c r="L7" s="60">
        <v>5329</v>
      </c>
      <c r="M7" s="60">
        <v>5461</v>
      </c>
      <c r="N7" s="60">
        <v>5055</v>
      </c>
      <c r="O7" s="61">
        <v>56789</v>
      </c>
      <c r="P7" s="32">
        <v>15306</v>
      </c>
      <c r="Q7" s="32">
        <v>111</v>
      </c>
      <c r="R7" s="32">
        <v>16175</v>
      </c>
      <c r="S7" s="32">
        <v>25197</v>
      </c>
      <c r="T7" s="64">
        <v>2020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DEFFD-FC29-413E-99B8-884A2DCC2CF1}">
  <dimension ref="A1:O6"/>
  <sheetViews>
    <sheetView zoomScale="67" workbookViewId="0">
      <selection sqref="A1:O6"/>
    </sheetView>
  </sheetViews>
  <sheetFormatPr defaultRowHeight="14.4"/>
  <sheetData>
    <row r="1" spans="1:15" ht="69">
      <c r="A1" s="54" t="s">
        <v>56</v>
      </c>
      <c r="B1" s="82" t="s">
        <v>58</v>
      </c>
      <c r="C1" s="82" t="s">
        <v>59</v>
      </c>
      <c r="D1" s="82" t="s">
        <v>60</v>
      </c>
      <c r="E1" s="82" t="s">
        <v>61</v>
      </c>
      <c r="F1" s="82" t="s">
        <v>62</v>
      </c>
      <c r="G1" s="82" t="s">
        <v>63</v>
      </c>
      <c r="H1" s="82" t="s">
        <v>57</v>
      </c>
      <c r="I1" s="22" t="s">
        <v>94</v>
      </c>
      <c r="J1" s="94" t="s">
        <v>75</v>
      </c>
      <c r="K1" s="94" t="s">
        <v>95</v>
      </c>
      <c r="L1" s="22" t="s">
        <v>96</v>
      </c>
      <c r="M1" s="94" t="s">
        <v>77</v>
      </c>
      <c r="N1" s="82" t="s">
        <v>14</v>
      </c>
      <c r="O1" t="s">
        <v>90</v>
      </c>
    </row>
    <row r="2" spans="1:15">
      <c r="A2" s="83">
        <v>3735</v>
      </c>
      <c r="B2" s="84">
        <v>11031</v>
      </c>
      <c r="C2" s="84">
        <v>24745</v>
      </c>
      <c r="D2" s="84">
        <v>13531</v>
      </c>
      <c r="E2" s="84">
        <v>10348</v>
      </c>
      <c r="F2" s="84">
        <v>6887</v>
      </c>
      <c r="G2" s="84">
        <v>4081</v>
      </c>
      <c r="H2" s="85">
        <v>2004</v>
      </c>
      <c r="I2" s="95">
        <v>20752</v>
      </c>
      <c r="J2" s="95">
        <v>11190</v>
      </c>
      <c r="K2" s="95">
        <v>22845</v>
      </c>
      <c r="L2" s="95">
        <v>0</v>
      </c>
      <c r="M2" s="95">
        <v>21575</v>
      </c>
      <c r="N2" s="86">
        <v>76362</v>
      </c>
      <c r="O2" s="90">
        <v>2024</v>
      </c>
    </row>
    <row r="3" spans="1:15">
      <c r="A3" s="83">
        <v>5337</v>
      </c>
      <c r="B3" s="40">
        <v>9944</v>
      </c>
      <c r="C3" s="40">
        <v>21151</v>
      </c>
      <c r="D3" s="40">
        <v>12654</v>
      </c>
      <c r="E3" s="40">
        <v>9859</v>
      </c>
      <c r="F3" s="40">
        <v>6228</v>
      </c>
      <c r="G3" s="40">
        <v>3716</v>
      </c>
      <c r="H3" s="40">
        <v>2127</v>
      </c>
      <c r="I3" s="96">
        <v>17553</v>
      </c>
      <c r="J3" s="96">
        <v>11355</v>
      </c>
      <c r="K3" s="96">
        <v>22454</v>
      </c>
      <c r="L3" s="96">
        <v>0</v>
      </c>
      <c r="M3" s="96">
        <v>19654</v>
      </c>
      <c r="N3" s="87">
        <f>SUM(A3:H3)</f>
        <v>71016</v>
      </c>
      <c r="O3" s="91">
        <v>2023</v>
      </c>
    </row>
    <row r="4" spans="1:15">
      <c r="A4" s="83">
        <v>5967</v>
      </c>
      <c r="B4" s="40">
        <v>7042</v>
      </c>
      <c r="C4" s="40">
        <v>15881</v>
      </c>
      <c r="D4" s="40">
        <v>10098</v>
      </c>
      <c r="E4" s="40">
        <v>7717</v>
      </c>
      <c r="F4" s="40">
        <v>4643</v>
      </c>
      <c r="G4" s="40">
        <v>2810</v>
      </c>
      <c r="H4" s="40">
        <v>1833</v>
      </c>
      <c r="I4" s="96">
        <v>15580</v>
      </c>
      <c r="J4" s="96">
        <v>9645</v>
      </c>
      <c r="K4" s="96">
        <v>16607</v>
      </c>
      <c r="L4" s="96">
        <v>751</v>
      </c>
      <c r="M4" s="96">
        <v>13408</v>
      </c>
      <c r="N4" s="87">
        <f>SUM(A4:H4)</f>
        <v>55991</v>
      </c>
      <c r="O4" s="91">
        <v>2022</v>
      </c>
    </row>
    <row r="5" spans="1:15">
      <c r="A5" s="88">
        <v>4414</v>
      </c>
      <c r="B5" s="40">
        <v>6888</v>
      </c>
      <c r="C5" s="40">
        <v>14703</v>
      </c>
      <c r="D5" s="40">
        <v>10134</v>
      </c>
      <c r="E5" s="40">
        <v>7156</v>
      </c>
      <c r="F5" s="40">
        <v>4445</v>
      </c>
      <c r="G5" s="40">
        <v>2593</v>
      </c>
      <c r="H5" s="40">
        <v>1178</v>
      </c>
      <c r="I5" s="96">
        <v>12948</v>
      </c>
      <c r="J5" s="96">
        <v>9193</v>
      </c>
      <c r="K5" s="96">
        <v>17805</v>
      </c>
      <c r="L5" s="96">
        <v>905</v>
      </c>
      <c r="M5" s="96">
        <v>10660</v>
      </c>
      <c r="N5" s="87">
        <f t="shared" ref="N5:N6" si="0">SUM(A5:H5)</f>
        <v>51511</v>
      </c>
      <c r="O5" s="91">
        <v>2021</v>
      </c>
    </row>
    <row r="6" spans="1:15">
      <c r="A6" s="41">
        <v>4176</v>
      </c>
      <c r="B6" s="42">
        <v>7487</v>
      </c>
      <c r="C6" s="42">
        <v>16329</v>
      </c>
      <c r="D6" s="42">
        <v>11568</v>
      </c>
      <c r="E6" s="42">
        <v>8188</v>
      </c>
      <c r="F6" s="42">
        <v>4935</v>
      </c>
      <c r="G6" s="42">
        <v>2830</v>
      </c>
      <c r="H6" s="42">
        <v>1276</v>
      </c>
      <c r="I6" s="97">
        <v>14796</v>
      </c>
      <c r="J6" s="97">
        <v>10064</v>
      </c>
      <c r="K6" s="97">
        <v>18017</v>
      </c>
      <c r="L6" s="97">
        <v>813</v>
      </c>
      <c r="M6" s="97">
        <v>13099</v>
      </c>
      <c r="N6" s="89">
        <f t="shared" si="0"/>
        <v>56789</v>
      </c>
      <c r="O6" s="92">
        <v>2020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0D39E-36F9-4AC4-B36B-7D6D4C16DF17}">
  <dimension ref="A1:Y30"/>
  <sheetViews>
    <sheetView tabSelected="1" topLeftCell="I1" zoomScale="73" workbookViewId="0">
      <selection activeCell="M23" sqref="M23"/>
    </sheetView>
  </sheetViews>
  <sheetFormatPr defaultRowHeight="14.4"/>
  <sheetData>
    <row r="1" spans="1:25">
      <c r="B1" t="s">
        <v>101</v>
      </c>
      <c r="D1" t="s">
        <v>102</v>
      </c>
      <c r="P1" t="s">
        <v>100</v>
      </c>
      <c r="T1" t="s">
        <v>99</v>
      </c>
    </row>
    <row r="2" spans="1:25" ht="69">
      <c r="B2" s="78" t="s">
        <v>52</v>
      </c>
      <c r="C2" s="54" t="s">
        <v>53</v>
      </c>
      <c r="D2" s="54" t="s">
        <v>2</v>
      </c>
      <c r="E2" s="54" t="s">
        <v>3</v>
      </c>
      <c r="F2" s="54" t="s">
        <v>4</v>
      </c>
      <c r="G2" s="54" t="s">
        <v>5</v>
      </c>
      <c r="H2" s="54" t="s">
        <v>6</v>
      </c>
      <c r="I2" s="54" t="s">
        <v>7</v>
      </c>
      <c r="J2" s="54" t="s">
        <v>8</v>
      </c>
      <c r="K2" s="55" t="s">
        <v>9</v>
      </c>
      <c r="L2" s="55" t="s">
        <v>10</v>
      </c>
      <c r="M2" s="55" t="s">
        <v>11</v>
      </c>
      <c r="N2" s="55" t="s">
        <v>12</v>
      </c>
      <c r="O2" s="54" t="s">
        <v>13</v>
      </c>
      <c r="P2" s="34" t="s">
        <v>94</v>
      </c>
      <c r="Q2" s="22" t="s">
        <v>75</v>
      </c>
      <c r="R2" s="22" t="s">
        <v>76</v>
      </c>
      <c r="S2" s="22" t="s">
        <v>77</v>
      </c>
      <c r="T2" s="34" t="s">
        <v>97</v>
      </c>
      <c r="U2" s="22" t="s">
        <v>78</v>
      </c>
      <c r="V2" s="22" t="s">
        <v>79</v>
      </c>
      <c r="W2" s="22" t="s">
        <v>98</v>
      </c>
      <c r="X2" s="22" t="s">
        <v>14</v>
      </c>
      <c r="Y2" s="54" t="s">
        <v>14</v>
      </c>
    </row>
    <row r="3" spans="1:25">
      <c r="A3" s="71" t="s">
        <v>14</v>
      </c>
      <c r="B3" s="79">
        <v>61853</v>
      </c>
      <c r="C3" s="79">
        <v>14509</v>
      </c>
      <c r="D3" s="65">
        <v>5989</v>
      </c>
      <c r="E3" s="65">
        <v>5241</v>
      </c>
      <c r="F3" s="65">
        <v>6478</v>
      </c>
      <c r="G3" s="65">
        <v>6724</v>
      </c>
      <c r="H3" s="65">
        <v>6097</v>
      </c>
      <c r="I3" s="65">
        <v>6063</v>
      </c>
      <c r="J3" s="65">
        <v>6392</v>
      </c>
      <c r="K3" s="65">
        <v>6856</v>
      </c>
      <c r="L3" s="65">
        <v>6722</v>
      </c>
      <c r="M3" s="65">
        <v>7155</v>
      </c>
      <c r="N3" s="65">
        <v>6245</v>
      </c>
      <c r="O3" s="65">
        <v>6400</v>
      </c>
      <c r="P3" s="98">
        <v>20752</v>
      </c>
      <c r="Q3" s="98">
        <v>11190</v>
      </c>
      <c r="R3" s="98">
        <v>22845</v>
      </c>
      <c r="S3" s="98">
        <v>21575</v>
      </c>
      <c r="T3" s="98">
        <v>4226</v>
      </c>
      <c r="U3" s="98">
        <v>16820</v>
      </c>
      <c r="V3" s="98">
        <v>131</v>
      </c>
      <c r="W3" s="98">
        <v>55185</v>
      </c>
      <c r="X3" s="98">
        <v>76362</v>
      </c>
      <c r="Y3" s="65">
        <v>76362</v>
      </c>
    </row>
    <row r="4" spans="1:25">
      <c r="A4" s="72" t="s">
        <v>15</v>
      </c>
      <c r="B4" s="80">
        <v>704</v>
      </c>
      <c r="C4" s="80">
        <v>230</v>
      </c>
      <c r="D4" s="66">
        <v>105</v>
      </c>
      <c r="E4" s="66">
        <v>63</v>
      </c>
      <c r="F4" s="66">
        <v>41</v>
      </c>
      <c r="G4" s="66">
        <v>74</v>
      </c>
      <c r="H4" s="66">
        <v>69</v>
      </c>
      <c r="I4" s="66">
        <v>58</v>
      </c>
      <c r="J4" s="66">
        <v>52</v>
      </c>
      <c r="K4" s="66">
        <v>133</v>
      </c>
      <c r="L4" s="66">
        <v>100</v>
      </c>
      <c r="M4" s="66">
        <v>81</v>
      </c>
      <c r="N4" s="66">
        <v>58</v>
      </c>
      <c r="O4" s="66">
        <v>100</v>
      </c>
      <c r="P4" s="29">
        <v>267</v>
      </c>
      <c r="Q4" s="29">
        <v>74</v>
      </c>
      <c r="R4" s="29">
        <v>80</v>
      </c>
      <c r="S4" s="29">
        <v>513</v>
      </c>
      <c r="T4" s="29">
        <v>29</v>
      </c>
      <c r="U4" s="29">
        <v>111</v>
      </c>
      <c r="V4" s="29">
        <v>0</v>
      </c>
      <c r="W4" s="29">
        <v>794</v>
      </c>
      <c r="X4" s="30">
        <v>934</v>
      </c>
      <c r="Y4" s="67">
        <v>934</v>
      </c>
    </row>
    <row r="5" spans="1:25">
      <c r="A5" s="72" t="s">
        <v>16</v>
      </c>
      <c r="B5" s="81">
        <v>2238</v>
      </c>
      <c r="C5" s="81">
        <v>742</v>
      </c>
      <c r="D5" s="66">
        <v>236</v>
      </c>
      <c r="E5" s="66">
        <v>235</v>
      </c>
      <c r="F5" s="66">
        <v>277</v>
      </c>
      <c r="G5" s="66">
        <v>271</v>
      </c>
      <c r="H5" s="66">
        <v>203</v>
      </c>
      <c r="I5" s="66">
        <v>250</v>
      </c>
      <c r="J5" s="66">
        <v>192</v>
      </c>
      <c r="K5" s="66">
        <v>291</v>
      </c>
      <c r="L5" s="66">
        <v>250</v>
      </c>
      <c r="M5" s="66">
        <v>300</v>
      </c>
      <c r="N5" s="66">
        <v>225</v>
      </c>
      <c r="O5" s="66">
        <v>250</v>
      </c>
      <c r="P5" s="29">
        <v>1122</v>
      </c>
      <c r="Q5" s="29">
        <v>119</v>
      </c>
      <c r="R5" s="29">
        <v>1537</v>
      </c>
      <c r="S5" s="29">
        <v>202</v>
      </c>
      <c r="T5" s="29">
        <v>14</v>
      </c>
      <c r="U5" s="29">
        <v>1569</v>
      </c>
      <c r="V5" s="29">
        <v>4</v>
      </c>
      <c r="W5" s="29">
        <v>1393</v>
      </c>
      <c r="X5" s="30">
        <v>2980</v>
      </c>
      <c r="Y5" s="67">
        <v>2980</v>
      </c>
    </row>
    <row r="6" spans="1:25">
      <c r="A6" s="72" t="s">
        <v>17</v>
      </c>
      <c r="B6" s="81">
        <v>0</v>
      </c>
      <c r="C6" s="81">
        <v>0</v>
      </c>
      <c r="D6" s="66">
        <v>0</v>
      </c>
      <c r="E6" s="66">
        <v>0</v>
      </c>
      <c r="F6" s="66">
        <v>0</v>
      </c>
      <c r="G6" s="66">
        <v>0</v>
      </c>
      <c r="H6" s="66">
        <v>0</v>
      </c>
      <c r="I6" s="66">
        <v>0</v>
      </c>
      <c r="J6" s="66">
        <v>0</v>
      </c>
      <c r="K6" s="66">
        <v>0</v>
      </c>
      <c r="L6" s="66">
        <v>0</v>
      </c>
      <c r="M6" s="66">
        <v>0</v>
      </c>
      <c r="N6" s="66">
        <v>0</v>
      </c>
      <c r="O6" s="66">
        <v>0</v>
      </c>
      <c r="P6" s="29"/>
      <c r="Q6" s="29"/>
      <c r="R6" s="29"/>
      <c r="S6" s="29"/>
      <c r="T6" s="29"/>
      <c r="U6" s="29"/>
      <c r="V6" s="29"/>
      <c r="W6" s="29"/>
      <c r="X6" s="30"/>
      <c r="Y6" s="67">
        <v>0</v>
      </c>
    </row>
    <row r="7" spans="1:25">
      <c r="A7" s="72" t="s">
        <v>19</v>
      </c>
      <c r="B7" s="81">
        <v>25</v>
      </c>
      <c r="C7" s="81">
        <v>14</v>
      </c>
      <c r="D7" s="66">
        <v>0</v>
      </c>
      <c r="E7" s="66">
        <v>0</v>
      </c>
      <c r="F7" s="66">
        <v>0</v>
      </c>
      <c r="G7" s="66">
        <v>0</v>
      </c>
      <c r="H7" s="66">
        <v>13</v>
      </c>
      <c r="I7" s="66">
        <v>9</v>
      </c>
      <c r="J7" s="66">
        <v>7</v>
      </c>
      <c r="K7" s="66">
        <v>3</v>
      </c>
      <c r="L7" s="66">
        <v>7</v>
      </c>
      <c r="M7" s="66">
        <v>0</v>
      </c>
      <c r="N7" s="66">
        <v>0</v>
      </c>
      <c r="O7" s="66">
        <v>0</v>
      </c>
      <c r="P7" s="29">
        <v>17</v>
      </c>
      <c r="Q7" s="29">
        <v>6</v>
      </c>
      <c r="R7" s="29">
        <v>16</v>
      </c>
      <c r="S7" s="29">
        <v>0</v>
      </c>
      <c r="T7" s="29">
        <v>13</v>
      </c>
      <c r="U7" s="29">
        <v>7</v>
      </c>
      <c r="V7" s="29">
        <v>0</v>
      </c>
      <c r="W7" s="29">
        <v>19</v>
      </c>
      <c r="X7" s="30">
        <v>39</v>
      </c>
      <c r="Y7" s="67">
        <v>39</v>
      </c>
    </row>
    <row r="8" spans="1:25">
      <c r="A8" s="72" t="s">
        <v>20</v>
      </c>
      <c r="B8" s="81">
        <v>5476</v>
      </c>
      <c r="C8" s="81">
        <v>1130</v>
      </c>
      <c r="D8" s="66">
        <v>7</v>
      </c>
      <c r="E8" s="66">
        <v>10</v>
      </c>
      <c r="F8" s="66">
        <v>16</v>
      </c>
      <c r="G8" s="66">
        <v>15</v>
      </c>
      <c r="H8" s="66">
        <v>18</v>
      </c>
      <c r="I8" s="66">
        <v>14</v>
      </c>
      <c r="J8" s="66">
        <v>24</v>
      </c>
      <c r="K8" s="66">
        <v>20</v>
      </c>
      <c r="L8" s="66">
        <v>17</v>
      </c>
      <c r="M8" s="66">
        <v>24</v>
      </c>
      <c r="N8" s="66">
        <v>20</v>
      </c>
      <c r="O8" s="66">
        <v>14</v>
      </c>
      <c r="P8" s="29">
        <v>2812</v>
      </c>
      <c r="Q8" s="29">
        <v>1017</v>
      </c>
      <c r="R8" s="29">
        <v>604</v>
      </c>
      <c r="S8" s="29">
        <v>2173</v>
      </c>
      <c r="T8" s="29">
        <v>32</v>
      </c>
      <c r="U8" s="29">
        <v>89</v>
      </c>
      <c r="V8" s="29">
        <v>0</v>
      </c>
      <c r="W8" s="29">
        <v>78</v>
      </c>
      <c r="X8" s="30">
        <v>6606</v>
      </c>
      <c r="Y8" s="67">
        <v>199</v>
      </c>
    </row>
    <row r="9" spans="1:25">
      <c r="A9" s="72" t="s">
        <v>22</v>
      </c>
      <c r="B9" s="81">
        <v>12727</v>
      </c>
      <c r="C9" s="81">
        <v>2836</v>
      </c>
      <c r="D9" s="66">
        <v>442</v>
      </c>
      <c r="E9" s="66">
        <v>310</v>
      </c>
      <c r="F9" s="66">
        <v>590</v>
      </c>
      <c r="G9" s="66">
        <v>668</v>
      </c>
      <c r="H9" s="66">
        <v>579</v>
      </c>
      <c r="I9" s="66">
        <v>598</v>
      </c>
      <c r="J9" s="66">
        <v>585</v>
      </c>
      <c r="K9" s="66">
        <v>600</v>
      </c>
      <c r="L9" s="66">
        <v>597</v>
      </c>
      <c r="M9" s="66">
        <v>670</v>
      </c>
      <c r="N9" s="66">
        <v>495</v>
      </c>
      <c r="O9" s="66">
        <v>472</v>
      </c>
      <c r="P9" s="29">
        <v>5565</v>
      </c>
      <c r="Q9" s="29">
        <v>2540</v>
      </c>
      <c r="R9" s="29">
        <v>6367</v>
      </c>
      <c r="S9" s="29">
        <v>1091</v>
      </c>
      <c r="T9" s="29">
        <v>283</v>
      </c>
      <c r="U9" s="29">
        <v>580</v>
      </c>
      <c r="V9" s="29">
        <v>2</v>
      </c>
      <c r="W9" s="29">
        <v>5741</v>
      </c>
      <c r="X9" s="30">
        <v>15563</v>
      </c>
      <c r="Y9" s="67">
        <v>6606</v>
      </c>
    </row>
    <row r="10" spans="1:25">
      <c r="A10" s="72" t="s">
        <v>23</v>
      </c>
      <c r="B10" s="81">
        <v>7200</v>
      </c>
      <c r="C10" s="81">
        <v>1764</v>
      </c>
      <c r="D10" s="66">
        <v>1123</v>
      </c>
      <c r="E10" s="66">
        <v>961</v>
      </c>
      <c r="F10" s="66">
        <v>1172</v>
      </c>
      <c r="G10" s="66">
        <v>1242</v>
      </c>
      <c r="H10" s="66">
        <v>1287</v>
      </c>
      <c r="I10" s="66">
        <v>1303</v>
      </c>
      <c r="J10" s="66">
        <v>1368</v>
      </c>
      <c r="K10" s="66">
        <v>1414</v>
      </c>
      <c r="L10" s="66">
        <v>1430</v>
      </c>
      <c r="M10" s="66">
        <v>1514</v>
      </c>
      <c r="N10" s="66">
        <v>1383</v>
      </c>
      <c r="O10" s="66">
        <v>1366</v>
      </c>
      <c r="P10" s="29">
        <v>2479</v>
      </c>
      <c r="Q10" s="29">
        <v>1526</v>
      </c>
      <c r="R10" s="29">
        <v>2036</v>
      </c>
      <c r="S10" s="29">
        <v>2923</v>
      </c>
      <c r="T10" s="29">
        <v>896</v>
      </c>
      <c r="U10" s="29">
        <v>4679</v>
      </c>
      <c r="V10" s="29">
        <v>5</v>
      </c>
      <c r="W10" s="29">
        <v>9983</v>
      </c>
      <c r="X10" s="30">
        <v>8964</v>
      </c>
      <c r="Y10" s="67">
        <v>15563</v>
      </c>
    </row>
    <row r="11" spans="1:25">
      <c r="A11" s="72" t="s">
        <v>24</v>
      </c>
      <c r="B11" s="81">
        <v>401</v>
      </c>
      <c r="C11" s="81">
        <v>140</v>
      </c>
      <c r="D11" s="66">
        <v>670</v>
      </c>
      <c r="E11" s="66">
        <v>633</v>
      </c>
      <c r="F11" s="66">
        <v>711</v>
      </c>
      <c r="G11" s="66">
        <v>812</v>
      </c>
      <c r="H11" s="66">
        <v>805</v>
      </c>
      <c r="I11" s="66">
        <v>677</v>
      </c>
      <c r="J11" s="66">
        <v>725</v>
      </c>
      <c r="K11" s="66">
        <v>725</v>
      </c>
      <c r="L11" s="66">
        <v>720</v>
      </c>
      <c r="M11" s="66">
        <v>836</v>
      </c>
      <c r="N11" s="66">
        <v>775</v>
      </c>
      <c r="O11" s="66">
        <v>875</v>
      </c>
      <c r="P11" s="29">
        <v>379</v>
      </c>
      <c r="Q11" s="29">
        <v>37</v>
      </c>
      <c r="R11" s="29">
        <v>22</v>
      </c>
      <c r="S11" s="29">
        <v>103</v>
      </c>
      <c r="T11" s="29">
        <v>880</v>
      </c>
      <c r="U11" s="29">
        <v>951</v>
      </c>
      <c r="V11" s="29">
        <v>12</v>
      </c>
      <c r="W11" s="29">
        <v>7121</v>
      </c>
      <c r="X11" s="30">
        <v>541</v>
      </c>
      <c r="Y11" s="67">
        <v>8964</v>
      </c>
    </row>
    <row r="12" spans="1:25">
      <c r="A12" s="72" t="s">
        <v>25</v>
      </c>
      <c r="B12" s="81">
        <v>3442</v>
      </c>
      <c r="C12" s="81">
        <v>893</v>
      </c>
      <c r="D12" s="66">
        <v>62</v>
      </c>
      <c r="E12" s="66">
        <v>48</v>
      </c>
      <c r="F12" s="66">
        <v>44</v>
      </c>
      <c r="G12" s="66">
        <v>33</v>
      </c>
      <c r="H12" s="66">
        <v>29</v>
      </c>
      <c r="I12" s="66">
        <v>22</v>
      </c>
      <c r="J12" s="66">
        <v>32</v>
      </c>
      <c r="K12" s="66">
        <v>32</v>
      </c>
      <c r="L12" s="66">
        <v>32</v>
      </c>
      <c r="M12" s="66">
        <v>72</v>
      </c>
      <c r="N12" s="66">
        <v>58</v>
      </c>
      <c r="O12" s="66">
        <v>77</v>
      </c>
      <c r="P12" s="29">
        <v>313</v>
      </c>
      <c r="Q12" s="29">
        <v>752</v>
      </c>
      <c r="R12" s="29">
        <v>334</v>
      </c>
      <c r="S12" s="29">
        <v>2936</v>
      </c>
      <c r="T12" s="29">
        <v>17</v>
      </c>
      <c r="U12" s="29">
        <v>6</v>
      </c>
      <c r="V12" s="29">
        <v>0</v>
      </c>
      <c r="W12" s="29">
        <v>518</v>
      </c>
      <c r="X12" s="30">
        <v>4335</v>
      </c>
      <c r="Y12" s="67">
        <v>541</v>
      </c>
    </row>
    <row r="13" spans="1:25">
      <c r="A13" s="72" t="s">
        <v>27</v>
      </c>
      <c r="B13" s="81">
        <v>4287</v>
      </c>
      <c r="C13" s="81">
        <v>1072</v>
      </c>
      <c r="D13" s="66">
        <v>406</v>
      </c>
      <c r="E13" s="66">
        <v>263</v>
      </c>
      <c r="F13" s="66">
        <v>352</v>
      </c>
      <c r="G13" s="66">
        <v>406</v>
      </c>
      <c r="H13" s="66">
        <v>331</v>
      </c>
      <c r="I13" s="66">
        <v>437</v>
      </c>
      <c r="J13" s="66">
        <v>308</v>
      </c>
      <c r="K13" s="66">
        <v>368</v>
      </c>
      <c r="L13" s="66">
        <v>375</v>
      </c>
      <c r="M13" s="66">
        <v>324</v>
      </c>
      <c r="N13" s="66">
        <v>339</v>
      </c>
      <c r="O13" s="66">
        <v>426</v>
      </c>
      <c r="P13" s="29">
        <v>1312</v>
      </c>
      <c r="Q13" s="29">
        <v>554</v>
      </c>
      <c r="R13" s="29">
        <v>782</v>
      </c>
      <c r="S13" s="29">
        <v>2711</v>
      </c>
      <c r="T13" s="29">
        <v>295</v>
      </c>
      <c r="U13" s="29">
        <v>682</v>
      </c>
      <c r="V13" s="29">
        <v>4</v>
      </c>
      <c r="W13" s="29">
        <v>3354</v>
      </c>
      <c r="X13" s="30">
        <v>5359</v>
      </c>
      <c r="Y13" s="67">
        <v>4335</v>
      </c>
    </row>
    <row r="14" spans="1:25">
      <c r="A14" s="72" t="s">
        <v>28</v>
      </c>
      <c r="B14" s="81">
        <v>1589</v>
      </c>
      <c r="C14" s="81">
        <v>444</v>
      </c>
      <c r="D14" s="66">
        <v>377</v>
      </c>
      <c r="E14" s="66">
        <v>437</v>
      </c>
      <c r="F14" s="66">
        <v>588</v>
      </c>
      <c r="G14" s="66">
        <v>406</v>
      </c>
      <c r="H14" s="66">
        <v>412</v>
      </c>
      <c r="I14" s="66">
        <v>375</v>
      </c>
      <c r="J14" s="66">
        <v>462</v>
      </c>
      <c r="K14" s="66">
        <v>488</v>
      </c>
      <c r="L14" s="66">
        <v>535</v>
      </c>
      <c r="M14" s="66">
        <v>496</v>
      </c>
      <c r="N14" s="66">
        <v>407</v>
      </c>
      <c r="O14" s="66">
        <v>376</v>
      </c>
      <c r="P14" s="29">
        <v>285</v>
      </c>
      <c r="Q14" s="29">
        <v>272</v>
      </c>
      <c r="R14" s="29">
        <v>534</v>
      </c>
      <c r="S14" s="29">
        <v>942</v>
      </c>
      <c r="T14" s="29">
        <v>247</v>
      </c>
      <c r="U14" s="29">
        <v>991</v>
      </c>
      <c r="V14" s="29">
        <v>3</v>
      </c>
      <c r="W14" s="29">
        <v>4118</v>
      </c>
      <c r="X14" s="30">
        <v>2033</v>
      </c>
      <c r="Y14" s="67">
        <v>5359</v>
      </c>
    </row>
    <row r="15" spans="1:25">
      <c r="A15" s="72" t="s">
        <v>29</v>
      </c>
      <c r="B15" s="81">
        <v>4401</v>
      </c>
      <c r="C15" s="81">
        <v>1285</v>
      </c>
      <c r="D15" s="66">
        <v>173</v>
      </c>
      <c r="E15" s="66">
        <v>186</v>
      </c>
      <c r="F15" s="66">
        <v>175</v>
      </c>
      <c r="G15" s="66">
        <v>196</v>
      </c>
      <c r="H15" s="66">
        <v>132</v>
      </c>
      <c r="I15" s="66">
        <v>103</v>
      </c>
      <c r="J15" s="66">
        <v>164</v>
      </c>
      <c r="K15" s="66">
        <v>144</v>
      </c>
      <c r="L15" s="66">
        <v>164</v>
      </c>
      <c r="M15" s="66">
        <v>199</v>
      </c>
      <c r="N15" s="66">
        <v>165</v>
      </c>
      <c r="O15" s="66">
        <v>232</v>
      </c>
      <c r="P15" s="29">
        <v>1417</v>
      </c>
      <c r="Q15" s="29">
        <v>1445</v>
      </c>
      <c r="R15" s="29">
        <v>1366</v>
      </c>
      <c r="S15" s="29">
        <v>1458</v>
      </c>
      <c r="T15" s="29">
        <v>25</v>
      </c>
      <c r="U15" s="29">
        <v>597</v>
      </c>
      <c r="V15" s="29">
        <v>16</v>
      </c>
      <c r="W15" s="29">
        <v>1395</v>
      </c>
      <c r="X15" s="30">
        <v>5686</v>
      </c>
      <c r="Y15" s="67">
        <v>2033</v>
      </c>
    </row>
    <row r="16" spans="1:25">
      <c r="A16" s="72" t="s">
        <v>30</v>
      </c>
      <c r="B16" s="81">
        <v>149</v>
      </c>
      <c r="C16" s="81">
        <v>50</v>
      </c>
      <c r="D16" s="66">
        <v>372</v>
      </c>
      <c r="E16" s="66">
        <v>362</v>
      </c>
      <c r="F16" s="66">
        <v>381</v>
      </c>
      <c r="G16" s="66">
        <v>470</v>
      </c>
      <c r="H16" s="66">
        <v>381</v>
      </c>
      <c r="I16" s="66">
        <v>503</v>
      </c>
      <c r="J16" s="66">
        <v>542</v>
      </c>
      <c r="K16" s="66">
        <v>526</v>
      </c>
      <c r="L16" s="66">
        <v>601</v>
      </c>
      <c r="M16" s="66">
        <v>633</v>
      </c>
      <c r="N16" s="66">
        <v>486</v>
      </c>
      <c r="O16" s="66">
        <v>429</v>
      </c>
      <c r="P16" s="29">
        <v>46</v>
      </c>
      <c r="Q16" s="29">
        <v>44</v>
      </c>
      <c r="R16" s="29">
        <v>99</v>
      </c>
      <c r="S16" s="29">
        <v>10</v>
      </c>
      <c r="T16" s="29">
        <v>145</v>
      </c>
      <c r="U16" s="29">
        <v>902</v>
      </c>
      <c r="V16" s="29">
        <v>9</v>
      </c>
      <c r="W16" s="29">
        <v>4630</v>
      </c>
      <c r="X16" s="30">
        <v>199</v>
      </c>
      <c r="Y16" s="67">
        <v>5686</v>
      </c>
    </row>
    <row r="17" spans="1:25">
      <c r="A17" s="72" t="s">
        <v>31</v>
      </c>
      <c r="B17" s="81">
        <v>3331</v>
      </c>
      <c r="C17" s="81">
        <v>708</v>
      </c>
      <c r="D17" s="66">
        <v>366</v>
      </c>
      <c r="E17" s="66">
        <v>289</v>
      </c>
      <c r="F17" s="66">
        <v>449</v>
      </c>
      <c r="G17" s="66">
        <v>450</v>
      </c>
      <c r="H17" s="66">
        <v>331</v>
      </c>
      <c r="I17" s="66">
        <v>251</v>
      </c>
      <c r="J17" s="66">
        <v>336</v>
      </c>
      <c r="K17" s="66">
        <v>380</v>
      </c>
      <c r="L17" s="66">
        <v>277</v>
      </c>
      <c r="M17" s="66">
        <v>359</v>
      </c>
      <c r="N17" s="66">
        <v>260</v>
      </c>
      <c r="O17" s="66">
        <v>291</v>
      </c>
      <c r="P17" s="29">
        <v>1177</v>
      </c>
      <c r="Q17" s="29">
        <v>494</v>
      </c>
      <c r="R17" s="29">
        <v>1118</v>
      </c>
      <c r="S17" s="29">
        <v>1250</v>
      </c>
      <c r="T17" s="29">
        <v>197</v>
      </c>
      <c r="U17" s="29">
        <v>1295</v>
      </c>
      <c r="V17" s="29">
        <v>17</v>
      </c>
      <c r="W17" s="29">
        <v>2530</v>
      </c>
      <c r="X17" s="30">
        <v>4039</v>
      </c>
      <c r="Y17" s="67">
        <v>4039</v>
      </c>
    </row>
    <row r="18" spans="1:25">
      <c r="A18" s="72" t="s">
        <v>32</v>
      </c>
      <c r="B18" s="81">
        <v>961</v>
      </c>
      <c r="C18" s="81">
        <v>214</v>
      </c>
      <c r="D18" s="66">
        <v>100</v>
      </c>
      <c r="E18" s="66">
        <v>90</v>
      </c>
      <c r="F18" s="66">
        <v>120</v>
      </c>
      <c r="G18" s="66">
        <v>132</v>
      </c>
      <c r="H18" s="66">
        <v>89</v>
      </c>
      <c r="I18" s="66">
        <v>98</v>
      </c>
      <c r="J18" s="66">
        <v>80</v>
      </c>
      <c r="K18" s="66">
        <v>96</v>
      </c>
      <c r="L18" s="66">
        <v>83</v>
      </c>
      <c r="M18" s="66">
        <v>100</v>
      </c>
      <c r="N18" s="66">
        <v>102</v>
      </c>
      <c r="O18" s="66">
        <v>85</v>
      </c>
      <c r="P18" s="29">
        <v>170</v>
      </c>
      <c r="Q18" s="29">
        <v>242</v>
      </c>
      <c r="R18" s="29">
        <v>333</v>
      </c>
      <c r="S18" s="29">
        <v>430</v>
      </c>
      <c r="T18" s="29">
        <v>202</v>
      </c>
      <c r="U18" s="29">
        <v>181</v>
      </c>
      <c r="V18" s="29">
        <v>5</v>
      </c>
      <c r="W18" s="29">
        <v>787</v>
      </c>
      <c r="X18" s="30">
        <v>1175</v>
      </c>
      <c r="Y18" s="67">
        <v>1175</v>
      </c>
    </row>
    <row r="19" spans="1:25">
      <c r="A19" s="72" t="s">
        <v>34</v>
      </c>
      <c r="B19" s="81">
        <v>150</v>
      </c>
      <c r="C19" s="81">
        <v>29</v>
      </c>
      <c r="D19" s="66">
        <v>17</v>
      </c>
      <c r="E19" s="66">
        <v>15</v>
      </c>
      <c r="F19" s="66">
        <v>18</v>
      </c>
      <c r="G19" s="66">
        <v>8</v>
      </c>
      <c r="H19" s="66">
        <v>8</v>
      </c>
      <c r="I19" s="66">
        <v>15</v>
      </c>
      <c r="J19" s="66">
        <v>11</v>
      </c>
      <c r="K19" s="66">
        <v>7</v>
      </c>
      <c r="L19" s="66">
        <v>25</v>
      </c>
      <c r="M19" s="66">
        <v>16</v>
      </c>
      <c r="N19" s="66">
        <v>26</v>
      </c>
      <c r="O19" s="66">
        <v>13</v>
      </c>
      <c r="P19" s="29">
        <v>42</v>
      </c>
      <c r="Q19" s="29">
        <v>21</v>
      </c>
      <c r="R19" s="29">
        <v>61</v>
      </c>
      <c r="S19" s="29">
        <v>55</v>
      </c>
      <c r="T19" s="29">
        <v>1</v>
      </c>
      <c r="U19" s="29">
        <v>2</v>
      </c>
      <c r="V19" s="29">
        <v>0</v>
      </c>
      <c r="W19" s="29">
        <v>176</v>
      </c>
      <c r="X19" s="30">
        <v>179</v>
      </c>
      <c r="Y19" s="67">
        <v>179</v>
      </c>
    </row>
    <row r="20" spans="1:25">
      <c r="A20" s="72" t="s">
        <v>36</v>
      </c>
      <c r="B20" s="81">
        <v>572</v>
      </c>
      <c r="C20" s="81">
        <v>192</v>
      </c>
      <c r="D20" s="66">
        <v>166</v>
      </c>
      <c r="E20" s="66">
        <v>131</v>
      </c>
      <c r="F20" s="66">
        <v>106</v>
      </c>
      <c r="G20" s="66">
        <v>82</v>
      </c>
      <c r="H20" s="66">
        <v>15</v>
      </c>
      <c r="I20" s="66">
        <v>23</v>
      </c>
      <c r="J20" s="66">
        <v>14</v>
      </c>
      <c r="K20" s="66">
        <v>36</v>
      </c>
      <c r="L20" s="66">
        <v>39</v>
      </c>
      <c r="M20" s="66">
        <v>37</v>
      </c>
      <c r="N20" s="66">
        <v>65</v>
      </c>
      <c r="O20" s="66">
        <v>50</v>
      </c>
      <c r="P20" s="29">
        <v>86</v>
      </c>
      <c r="Q20" s="29">
        <v>29</v>
      </c>
      <c r="R20" s="29">
        <v>244</v>
      </c>
      <c r="S20" s="29">
        <v>405</v>
      </c>
      <c r="T20" s="29">
        <v>129</v>
      </c>
      <c r="U20" s="29">
        <v>143</v>
      </c>
      <c r="V20" s="29">
        <v>1</v>
      </c>
      <c r="W20" s="29">
        <v>491</v>
      </c>
      <c r="X20" s="30">
        <v>764</v>
      </c>
      <c r="Y20" s="67">
        <v>764</v>
      </c>
    </row>
    <row r="21" spans="1:25">
      <c r="A21" s="72" t="s">
        <v>37</v>
      </c>
      <c r="B21" s="81">
        <v>4139</v>
      </c>
      <c r="C21" s="81">
        <v>839</v>
      </c>
      <c r="D21" s="66">
        <v>516</v>
      </c>
      <c r="E21" s="66">
        <v>401</v>
      </c>
      <c r="F21" s="66">
        <v>526</v>
      </c>
      <c r="G21" s="66">
        <v>487</v>
      </c>
      <c r="H21" s="66">
        <v>381</v>
      </c>
      <c r="I21" s="66">
        <v>389</v>
      </c>
      <c r="J21" s="66">
        <v>344</v>
      </c>
      <c r="K21" s="66">
        <v>469</v>
      </c>
      <c r="L21" s="66">
        <v>397</v>
      </c>
      <c r="M21" s="66">
        <v>397</v>
      </c>
      <c r="N21" s="66">
        <v>366</v>
      </c>
      <c r="O21" s="66">
        <v>305</v>
      </c>
      <c r="P21" s="29">
        <v>1877</v>
      </c>
      <c r="Q21" s="29">
        <v>354</v>
      </c>
      <c r="R21" s="29">
        <v>1734</v>
      </c>
      <c r="S21" s="29">
        <v>1013</v>
      </c>
      <c r="T21" s="29">
        <v>44</v>
      </c>
      <c r="U21" s="29">
        <v>946</v>
      </c>
      <c r="V21" s="29">
        <v>16</v>
      </c>
      <c r="W21" s="29">
        <v>3972</v>
      </c>
      <c r="X21" s="30">
        <v>4978</v>
      </c>
      <c r="Y21" s="67">
        <v>4978</v>
      </c>
    </row>
    <row r="22" spans="1:25">
      <c r="A22" s="72" t="s">
        <v>39</v>
      </c>
      <c r="B22" s="81">
        <v>4488</v>
      </c>
      <c r="C22" s="81">
        <v>757</v>
      </c>
      <c r="D22" s="66">
        <v>365</v>
      </c>
      <c r="E22" s="66">
        <v>301</v>
      </c>
      <c r="F22" s="66">
        <v>284</v>
      </c>
      <c r="G22" s="66">
        <v>410</v>
      </c>
      <c r="H22" s="66">
        <v>496</v>
      </c>
      <c r="I22" s="66">
        <v>450</v>
      </c>
      <c r="J22" s="66">
        <v>436</v>
      </c>
      <c r="K22" s="66">
        <v>477</v>
      </c>
      <c r="L22" s="66">
        <v>488</v>
      </c>
      <c r="M22" s="66">
        <v>544</v>
      </c>
      <c r="N22" s="66">
        <v>479</v>
      </c>
      <c r="O22" s="66">
        <v>515</v>
      </c>
      <c r="P22" s="29">
        <v>318</v>
      </c>
      <c r="Q22" s="29">
        <v>620</v>
      </c>
      <c r="R22" s="29">
        <v>3091</v>
      </c>
      <c r="S22" s="29">
        <v>1216</v>
      </c>
      <c r="T22" s="29">
        <v>114</v>
      </c>
      <c r="U22" s="29">
        <v>388</v>
      </c>
      <c r="V22" s="29">
        <v>30</v>
      </c>
      <c r="W22" s="29">
        <v>4713</v>
      </c>
      <c r="X22" s="30">
        <v>5245</v>
      </c>
      <c r="Y22" s="67">
        <v>5245</v>
      </c>
    </row>
    <row r="23" spans="1:25">
      <c r="A23" s="72" t="s">
        <v>41</v>
      </c>
      <c r="B23" s="81">
        <v>816</v>
      </c>
      <c r="C23" s="81">
        <v>108</v>
      </c>
      <c r="D23" s="66">
        <v>99</v>
      </c>
      <c r="E23" s="66">
        <v>109</v>
      </c>
      <c r="F23" s="66">
        <v>114</v>
      </c>
      <c r="G23" s="66">
        <v>63</v>
      </c>
      <c r="H23" s="66">
        <v>64</v>
      </c>
      <c r="I23" s="66">
        <v>70</v>
      </c>
      <c r="J23" s="66">
        <v>68</v>
      </c>
      <c r="K23" s="66">
        <v>48</v>
      </c>
      <c r="L23" s="66">
        <v>54</v>
      </c>
      <c r="M23" s="66">
        <v>95</v>
      </c>
      <c r="N23" s="66">
        <v>72</v>
      </c>
      <c r="O23" s="66">
        <v>68</v>
      </c>
      <c r="P23" s="29">
        <v>117</v>
      </c>
      <c r="Q23" s="29">
        <v>74</v>
      </c>
      <c r="R23" s="29">
        <v>57</v>
      </c>
      <c r="S23" s="29">
        <v>676</v>
      </c>
      <c r="T23" s="29">
        <v>49</v>
      </c>
      <c r="U23" s="29">
        <v>30</v>
      </c>
      <c r="V23" s="29">
        <v>7</v>
      </c>
      <c r="W23" s="29">
        <v>838</v>
      </c>
      <c r="X23" s="30">
        <v>924</v>
      </c>
      <c r="Y23" s="67">
        <v>924</v>
      </c>
    </row>
    <row r="24" spans="1:25">
      <c r="A24" s="72" t="s">
        <v>42</v>
      </c>
      <c r="B24" s="81">
        <v>87</v>
      </c>
      <c r="C24" s="81">
        <v>20</v>
      </c>
      <c r="D24" s="66">
        <v>28</v>
      </c>
      <c r="E24" s="66">
        <v>40</v>
      </c>
      <c r="F24" s="66">
        <v>1</v>
      </c>
      <c r="G24" s="66">
        <v>4</v>
      </c>
      <c r="H24" s="66">
        <v>5</v>
      </c>
      <c r="I24" s="66">
        <v>1</v>
      </c>
      <c r="J24" s="66">
        <v>2</v>
      </c>
      <c r="K24" s="66">
        <v>0</v>
      </c>
      <c r="L24" s="66">
        <v>5</v>
      </c>
      <c r="M24" s="66">
        <v>3</v>
      </c>
      <c r="N24" s="66">
        <v>5</v>
      </c>
      <c r="O24" s="66">
        <v>13</v>
      </c>
      <c r="P24" s="29">
        <v>0</v>
      </c>
      <c r="Q24" s="29">
        <v>5</v>
      </c>
      <c r="R24" s="29">
        <v>12</v>
      </c>
      <c r="S24" s="29">
        <v>90</v>
      </c>
      <c r="T24" s="29">
        <v>0</v>
      </c>
      <c r="U24" s="29">
        <v>7</v>
      </c>
      <c r="V24" s="29">
        <v>0</v>
      </c>
      <c r="W24" s="29">
        <v>100</v>
      </c>
      <c r="X24" s="30">
        <v>107</v>
      </c>
      <c r="Y24" s="67">
        <v>107</v>
      </c>
    </row>
    <row r="25" spans="1:25">
      <c r="A25" s="72" t="s">
        <v>43</v>
      </c>
      <c r="B25" s="81" t="s">
        <v>91</v>
      </c>
      <c r="C25" s="81" t="s">
        <v>91</v>
      </c>
      <c r="D25" s="66">
        <v>0</v>
      </c>
      <c r="E25" s="66">
        <v>0</v>
      </c>
      <c r="F25" s="66">
        <v>0</v>
      </c>
      <c r="G25" s="66">
        <v>0</v>
      </c>
      <c r="H25" s="66">
        <v>0</v>
      </c>
      <c r="I25" s="66">
        <v>0</v>
      </c>
      <c r="J25" s="66">
        <v>0</v>
      </c>
      <c r="K25" s="66">
        <v>0</v>
      </c>
      <c r="L25" s="66">
        <v>0</v>
      </c>
      <c r="M25" s="66">
        <v>0</v>
      </c>
      <c r="N25" s="66">
        <v>0</v>
      </c>
      <c r="O25" s="66">
        <v>0</v>
      </c>
      <c r="P25" s="29"/>
      <c r="Q25" s="29"/>
      <c r="R25" s="29"/>
      <c r="S25" s="29"/>
      <c r="T25" s="29"/>
      <c r="U25" s="29"/>
      <c r="V25" s="29"/>
      <c r="W25" s="29"/>
      <c r="X25" s="30"/>
      <c r="Y25" s="67">
        <v>0</v>
      </c>
    </row>
    <row r="26" spans="1:25">
      <c r="A26" s="72" t="s">
        <v>48</v>
      </c>
      <c r="B26" s="81">
        <v>1532</v>
      </c>
      <c r="C26" s="81">
        <v>396</v>
      </c>
      <c r="D26" s="66">
        <v>151</v>
      </c>
      <c r="E26" s="66">
        <v>116</v>
      </c>
      <c r="F26" s="66">
        <v>255</v>
      </c>
      <c r="G26" s="66">
        <v>209</v>
      </c>
      <c r="H26" s="66">
        <v>168</v>
      </c>
      <c r="I26" s="66">
        <v>106</v>
      </c>
      <c r="J26" s="66">
        <v>254</v>
      </c>
      <c r="K26" s="66">
        <v>191</v>
      </c>
      <c r="L26" s="66">
        <v>204</v>
      </c>
      <c r="M26" s="66">
        <v>229</v>
      </c>
      <c r="N26" s="66">
        <v>197</v>
      </c>
      <c r="O26" s="66">
        <v>209</v>
      </c>
      <c r="P26" s="29">
        <v>648</v>
      </c>
      <c r="Q26" s="29">
        <v>758</v>
      </c>
      <c r="R26" s="29">
        <v>878</v>
      </c>
      <c r="S26" s="29">
        <v>5</v>
      </c>
      <c r="T26" s="29">
        <v>7</v>
      </c>
      <c r="U26" s="29">
        <v>1229</v>
      </c>
      <c r="V26" s="29">
        <v>0</v>
      </c>
      <c r="W26" s="29">
        <v>692</v>
      </c>
      <c r="X26" s="30">
        <v>2289</v>
      </c>
      <c r="Y26" s="67">
        <v>2289</v>
      </c>
    </row>
    <row r="27" spans="1:25">
      <c r="A27" s="72" t="s">
        <v>47</v>
      </c>
      <c r="B27" s="81">
        <v>1902</v>
      </c>
      <c r="C27" s="81">
        <v>387</v>
      </c>
      <c r="D27" s="66">
        <v>75</v>
      </c>
      <c r="E27" s="66">
        <v>33</v>
      </c>
      <c r="F27" s="66">
        <v>58</v>
      </c>
      <c r="G27" s="66">
        <v>59</v>
      </c>
      <c r="H27" s="66">
        <v>41</v>
      </c>
      <c r="I27" s="66">
        <v>33</v>
      </c>
      <c r="J27" s="66">
        <v>50</v>
      </c>
      <c r="K27" s="66">
        <v>47</v>
      </c>
      <c r="L27" s="66">
        <v>69</v>
      </c>
      <c r="M27" s="66">
        <v>30</v>
      </c>
      <c r="N27" s="66">
        <v>35</v>
      </c>
      <c r="O27" s="66">
        <v>38</v>
      </c>
      <c r="P27" s="29">
        <v>61</v>
      </c>
      <c r="Q27" s="29">
        <v>42</v>
      </c>
      <c r="R27" s="29">
        <v>142</v>
      </c>
      <c r="S27" s="29">
        <v>323</v>
      </c>
      <c r="T27" s="29">
        <v>29</v>
      </c>
      <c r="U27" s="29">
        <v>229</v>
      </c>
      <c r="V27" s="29">
        <v>0</v>
      </c>
      <c r="W27" s="29">
        <v>310</v>
      </c>
      <c r="X27" s="30">
        <v>568</v>
      </c>
      <c r="Y27" s="67">
        <v>568</v>
      </c>
    </row>
    <row r="28" spans="1:25">
      <c r="A28" s="72" t="s">
        <v>45</v>
      </c>
      <c r="B28" s="81">
        <v>510</v>
      </c>
      <c r="C28" s="81">
        <v>58</v>
      </c>
      <c r="D28" s="66">
        <v>84</v>
      </c>
      <c r="E28" s="66">
        <v>152</v>
      </c>
      <c r="F28" s="66">
        <v>131</v>
      </c>
      <c r="G28" s="66">
        <v>124</v>
      </c>
      <c r="H28" s="66">
        <v>184</v>
      </c>
      <c r="I28" s="66">
        <v>193</v>
      </c>
      <c r="J28" s="66">
        <v>246</v>
      </c>
      <c r="K28" s="66">
        <v>261</v>
      </c>
      <c r="L28" s="66">
        <v>156</v>
      </c>
      <c r="M28" s="66">
        <v>121</v>
      </c>
      <c r="N28" s="66">
        <v>163</v>
      </c>
      <c r="O28" s="66">
        <v>113</v>
      </c>
      <c r="P28" s="29">
        <v>222</v>
      </c>
      <c r="Q28" s="29">
        <v>88</v>
      </c>
      <c r="R28" s="29">
        <v>1171</v>
      </c>
      <c r="S28" s="29">
        <v>447</v>
      </c>
      <c r="T28" s="29">
        <v>567</v>
      </c>
      <c r="U28" s="29">
        <v>945</v>
      </c>
      <c r="V28" s="29">
        <v>0</v>
      </c>
      <c r="W28" s="29">
        <v>777</v>
      </c>
      <c r="X28" s="30">
        <v>1928</v>
      </c>
      <c r="Y28" s="67">
        <v>1928</v>
      </c>
    </row>
    <row r="29" spans="1:25">
      <c r="A29" s="72" t="s">
        <v>49</v>
      </c>
      <c r="B29" s="81">
        <v>480</v>
      </c>
      <c r="C29" s="81">
        <v>125</v>
      </c>
      <c r="D29" s="66">
        <v>26</v>
      </c>
      <c r="E29" s="66">
        <v>39</v>
      </c>
      <c r="F29" s="66">
        <v>40</v>
      </c>
      <c r="G29" s="66">
        <v>69</v>
      </c>
      <c r="H29" s="66">
        <v>41</v>
      </c>
      <c r="I29" s="66">
        <v>55</v>
      </c>
      <c r="J29" s="66">
        <v>59</v>
      </c>
      <c r="K29" s="66">
        <v>58</v>
      </c>
      <c r="L29" s="66">
        <v>65</v>
      </c>
      <c r="M29" s="66">
        <v>53</v>
      </c>
      <c r="N29" s="66">
        <v>45</v>
      </c>
      <c r="O29" s="66">
        <v>55</v>
      </c>
      <c r="P29" s="29">
        <v>6</v>
      </c>
      <c r="Q29" s="29">
        <v>0</v>
      </c>
      <c r="R29" s="29">
        <v>6</v>
      </c>
      <c r="S29" s="29">
        <v>593</v>
      </c>
      <c r="T29" s="29">
        <v>2</v>
      </c>
      <c r="U29" s="29">
        <v>9</v>
      </c>
      <c r="V29" s="29">
        <v>0</v>
      </c>
      <c r="W29" s="29">
        <v>594</v>
      </c>
      <c r="X29" s="30">
        <v>605</v>
      </c>
      <c r="Y29" s="67">
        <v>605</v>
      </c>
    </row>
    <row r="30" spans="1:25">
      <c r="A30" s="73" t="s">
        <v>51</v>
      </c>
      <c r="B30" s="68">
        <v>246</v>
      </c>
      <c r="C30" s="68">
        <v>76</v>
      </c>
      <c r="D30" s="68">
        <v>23</v>
      </c>
      <c r="E30" s="68">
        <v>17</v>
      </c>
      <c r="F30" s="68">
        <v>29</v>
      </c>
      <c r="G30" s="68">
        <v>34</v>
      </c>
      <c r="H30" s="69">
        <v>15</v>
      </c>
      <c r="I30" s="69">
        <v>30</v>
      </c>
      <c r="J30" s="69">
        <v>31</v>
      </c>
      <c r="K30" s="69">
        <v>42</v>
      </c>
      <c r="L30" s="69">
        <v>32</v>
      </c>
      <c r="M30" s="69">
        <v>22</v>
      </c>
      <c r="N30" s="69">
        <v>19</v>
      </c>
      <c r="O30" s="69">
        <v>28</v>
      </c>
      <c r="P30" s="32">
        <v>14</v>
      </c>
      <c r="Q30" s="32">
        <v>77</v>
      </c>
      <c r="R30" s="32">
        <v>221</v>
      </c>
      <c r="S30" s="32">
        <v>10</v>
      </c>
      <c r="T30" s="97">
        <v>9</v>
      </c>
      <c r="U30" s="97">
        <v>252</v>
      </c>
      <c r="V30" s="97">
        <v>0</v>
      </c>
      <c r="W30" s="97">
        <v>61</v>
      </c>
      <c r="X30" s="33">
        <v>322</v>
      </c>
      <c r="Y30" s="70">
        <v>322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EA8AE-DF22-4A06-AB1B-C310BD98AD01}">
  <dimension ref="A2:P7"/>
  <sheetViews>
    <sheetView workbookViewId="0">
      <selection activeCell="H16" sqref="H16"/>
    </sheetView>
  </sheetViews>
  <sheetFormatPr defaultRowHeight="14.4"/>
  <sheetData>
    <row r="2" spans="1:16" ht="27.6">
      <c r="A2" t="s">
        <v>90</v>
      </c>
      <c r="B2" s="22" t="s">
        <v>52</v>
      </c>
      <c r="C2" s="22" t="s">
        <v>53</v>
      </c>
      <c r="D2" s="22" t="s">
        <v>2</v>
      </c>
      <c r="E2" s="22" t="s">
        <v>3</v>
      </c>
      <c r="F2" s="22" t="s">
        <v>4</v>
      </c>
      <c r="G2" s="22" t="s">
        <v>5</v>
      </c>
      <c r="H2" s="22" t="s">
        <v>6</v>
      </c>
      <c r="I2" s="22" t="s">
        <v>7</v>
      </c>
      <c r="J2" s="22" t="s">
        <v>8</v>
      </c>
      <c r="K2" s="22" t="s">
        <v>9</v>
      </c>
      <c r="L2" s="22" t="s">
        <v>10</v>
      </c>
      <c r="M2" s="22" t="s">
        <v>11</v>
      </c>
      <c r="N2" s="22" t="s">
        <v>12</v>
      </c>
      <c r="O2" s="22" t="s">
        <v>13</v>
      </c>
      <c r="P2" s="101" t="s">
        <v>14</v>
      </c>
    </row>
    <row r="3" spans="1:16">
      <c r="A3" s="99">
        <v>2024</v>
      </c>
      <c r="B3" s="99">
        <v>4397</v>
      </c>
      <c r="C3" s="99">
        <v>863</v>
      </c>
      <c r="D3" s="99">
        <v>407</v>
      </c>
      <c r="E3" s="99">
        <v>394</v>
      </c>
      <c r="F3" s="99">
        <v>491</v>
      </c>
      <c r="G3" s="99">
        <v>527</v>
      </c>
      <c r="H3" s="99">
        <v>410</v>
      </c>
      <c r="I3" s="99">
        <v>471</v>
      </c>
      <c r="J3" s="99">
        <v>442</v>
      </c>
      <c r="K3" s="99">
        <v>444</v>
      </c>
      <c r="L3" s="99">
        <v>420</v>
      </c>
      <c r="M3" s="99">
        <v>439</v>
      </c>
      <c r="N3" s="99">
        <v>384</v>
      </c>
      <c r="O3" s="99">
        <v>431</v>
      </c>
      <c r="P3" s="100">
        <v>5260</v>
      </c>
    </row>
    <row r="4" spans="1:16">
      <c r="A4" s="96">
        <v>2023</v>
      </c>
      <c r="B4" s="29">
        <v>4902</v>
      </c>
      <c r="C4" s="29">
        <v>959</v>
      </c>
      <c r="D4" s="29">
        <v>540</v>
      </c>
      <c r="E4" s="29">
        <v>503</v>
      </c>
      <c r="F4" s="29">
        <v>465</v>
      </c>
      <c r="G4" s="29">
        <v>540</v>
      </c>
      <c r="H4" s="29">
        <v>476</v>
      </c>
      <c r="I4" s="29">
        <v>469</v>
      </c>
      <c r="J4" s="29">
        <v>519</v>
      </c>
      <c r="K4" s="29">
        <v>522</v>
      </c>
      <c r="L4" s="29">
        <v>478</v>
      </c>
      <c r="M4" s="29">
        <v>482</v>
      </c>
      <c r="N4" s="29">
        <v>436</v>
      </c>
      <c r="O4" s="29">
        <v>431</v>
      </c>
      <c r="P4" s="30">
        <v>5861</v>
      </c>
    </row>
    <row r="5" spans="1:16">
      <c r="A5" s="96">
        <v>2022</v>
      </c>
      <c r="B5" s="29">
        <v>1366</v>
      </c>
      <c r="C5" s="29">
        <v>6396</v>
      </c>
      <c r="D5" s="29">
        <v>571</v>
      </c>
      <c r="E5" s="29">
        <v>466</v>
      </c>
      <c r="F5" s="29">
        <v>596</v>
      </c>
      <c r="G5" s="29">
        <v>721</v>
      </c>
      <c r="H5" s="29">
        <v>675</v>
      </c>
      <c r="I5" s="29">
        <v>638</v>
      </c>
      <c r="J5" s="29">
        <v>738</v>
      </c>
      <c r="K5" s="29">
        <v>763</v>
      </c>
      <c r="L5" s="29">
        <v>676</v>
      </c>
      <c r="M5" s="29">
        <v>715</v>
      </c>
      <c r="N5" s="29">
        <v>613</v>
      </c>
      <c r="O5" s="29">
        <v>590</v>
      </c>
      <c r="P5" s="30">
        <v>7762</v>
      </c>
    </row>
    <row r="6" spans="1:16">
      <c r="A6" s="96">
        <v>2021</v>
      </c>
      <c r="B6" s="29">
        <v>6057</v>
      </c>
      <c r="C6" s="29">
        <v>1269</v>
      </c>
      <c r="D6" s="29">
        <v>468</v>
      </c>
      <c r="E6" s="29">
        <v>485</v>
      </c>
      <c r="F6" s="29">
        <v>565</v>
      </c>
      <c r="G6" s="29">
        <v>613</v>
      </c>
      <c r="H6" s="29">
        <v>680</v>
      </c>
      <c r="I6" s="29">
        <v>626</v>
      </c>
      <c r="J6" s="29">
        <v>674</v>
      </c>
      <c r="K6" s="29">
        <v>668</v>
      </c>
      <c r="L6" s="29">
        <v>652</v>
      </c>
      <c r="M6" s="29">
        <v>629</v>
      </c>
      <c r="N6" s="29">
        <v>604</v>
      </c>
      <c r="O6" s="29">
        <v>662</v>
      </c>
      <c r="P6" s="30">
        <v>7326</v>
      </c>
    </row>
    <row r="7" spans="1:16">
      <c r="A7" s="97">
        <v>2020</v>
      </c>
      <c r="B7" s="32">
        <v>5127</v>
      </c>
      <c r="C7" s="32">
        <v>1051</v>
      </c>
      <c r="D7" s="32">
        <v>517</v>
      </c>
      <c r="E7" s="32">
        <v>536</v>
      </c>
      <c r="F7" s="32">
        <v>441</v>
      </c>
      <c r="G7" s="32">
        <v>410</v>
      </c>
      <c r="H7" s="32">
        <v>518</v>
      </c>
      <c r="I7" s="32">
        <v>497</v>
      </c>
      <c r="J7" s="32">
        <v>492</v>
      </c>
      <c r="K7" s="32">
        <v>637</v>
      </c>
      <c r="L7" s="32">
        <v>512</v>
      </c>
      <c r="M7" s="32">
        <v>516</v>
      </c>
      <c r="N7" s="32">
        <v>534</v>
      </c>
      <c r="O7" s="32">
        <v>568</v>
      </c>
      <c r="P7" s="33">
        <v>6178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843D2-49B4-49B2-A298-5F88C2C75FA3}">
  <dimension ref="A1:R7"/>
  <sheetViews>
    <sheetView topLeftCell="H1" workbookViewId="0">
      <selection sqref="A1:R7"/>
    </sheetView>
  </sheetViews>
  <sheetFormatPr defaultRowHeight="14.4"/>
  <sheetData>
    <row r="1" spans="1:18">
      <c r="B1" t="s">
        <v>105</v>
      </c>
      <c r="J1" t="s">
        <v>104</v>
      </c>
      <c r="N1" t="s">
        <v>99</v>
      </c>
    </row>
    <row r="2" spans="1:18" ht="41.4">
      <c r="A2" t="s">
        <v>90</v>
      </c>
      <c r="B2" s="22" t="s">
        <v>56</v>
      </c>
      <c r="C2" s="82">
        <v>-5</v>
      </c>
      <c r="D2" s="82">
        <v>-15</v>
      </c>
      <c r="E2" s="82">
        <v>-25</v>
      </c>
      <c r="F2" s="82">
        <v>-35</v>
      </c>
      <c r="G2" s="82">
        <v>-45</v>
      </c>
      <c r="H2" s="82">
        <v>-55</v>
      </c>
      <c r="I2" s="82" t="s">
        <v>57</v>
      </c>
      <c r="J2" s="22" t="s">
        <v>103</v>
      </c>
      <c r="K2" s="22" t="s">
        <v>75</v>
      </c>
      <c r="L2" s="22" t="s">
        <v>95</v>
      </c>
      <c r="M2" s="22" t="s">
        <v>77</v>
      </c>
      <c r="N2" s="22" t="s">
        <v>78</v>
      </c>
      <c r="O2" s="22" t="s">
        <v>79</v>
      </c>
      <c r="P2" s="22" t="s">
        <v>80</v>
      </c>
      <c r="Q2" s="22" t="s">
        <v>77</v>
      </c>
      <c r="R2" s="22" t="s">
        <v>14</v>
      </c>
    </row>
    <row r="3" spans="1:18">
      <c r="A3" s="95">
        <v>2024</v>
      </c>
      <c r="B3" s="26">
        <v>218</v>
      </c>
      <c r="C3" s="26">
        <v>505</v>
      </c>
      <c r="D3" s="26">
        <v>1219</v>
      </c>
      <c r="E3" s="26">
        <v>796</v>
      </c>
      <c r="F3" s="26">
        <v>746</v>
      </c>
      <c r="G3" s="26">
        <v>623</v>
      </c>
      <c r="H3" s="26">
        <v>613</v>
      </c>
      <c r="I3" s="26">
        <v>540</v>
      </c>
      <c r="J3" s="26">
        <v>2125</v>
      </c>
      <c r="K3" s="26">
        <v>1202</v>
      </c>
      <c r="L3" s="26">
        <v>1174</v>
      </c>
      <c r="M3" s="26">
        <v>759</v>
      </c>
      <c r="N3" s="40">
        <v>2955</v>
      </c>
      <c r="O3" s="40">
        <v>223</v>
      </c>
      <c r="P3" s="40">
        <v>897</v>
      </c>
      <c r="Q3" s="40">
        <v>1185</v>
      </c>
      <c r="R3" s="27">
        <v>5260</v>
      </c>
    </row>
    <row r="4" spans="1:18">
      <c r="A4" s="96">
        <v>2023</v>
      </c>
      <c r="B4" s="29">
        <v>291</v>
      </c>
      <c r="C4" s="29">
        <v>575</v>
      </c>
      <c r="D4" s="29">
        <v>1409</v>
      </c>
      <c r="E4" s="29">
        <v>822</v>
      </c>
      <c r="F4" s="29">
        <v>891</v>
      </c>
      <c r="G4" s="29">
        <v>691</v>
      </c>
      <c r="H4" s="29">
        <v>668</v>
      </c>
      <c r="I4" s="29">
        <v>514</v>
      </c>
      <c r="J4" s="29">
        <v>2199</v>
      </c>
      <c r="K4" s="29">
        <v>1442</v>
      </c>
      <c r="L4" s="29">
        <v>1382</v>
      </c>
      <c r="M4" s="29">
        <v>838</v>
      </c>
      <c r="N4" s="40">
        <v>3412</v>
      </c>
      <c r="O4" s="40">
        <v>192</v>
      </c>
      <c r="P4" s="40">
        <v>970</v>
      </c>
      <c r="Q4" s="40">
        <v>1287</v>
      </c>
      <c r="R4" s="30">
        <v>5861</v>
      </c>
    </row>
    <row r="5" spans="1:18">
      <c r="A5" s="96">
        <v>2022</v>
      </c>
      <c r="B5" s="29">
        <v>401</v>
      </c>
      <c r="C5" s="29">
        <v>754</v>
      </c>
      <c r="D5" s="29">
        <v>1809</v>
      </c>
      <c r="E5" s="29">
        <v>1271</v>
      </c>
      <c r="F5" s="29">
        <v>1146</v>
      </c>
      <c r="G5" s="29">
        <v>914</v>
      </c>
      <c r="H5" s="29">
        <v>786</v>
      </c>
      <c r="I5" s="29">
        <v>681</v>
      </c>
      <c r="J5" s="29">
        <v>2270</v>
      </c>
      <c r="K5" s="29">
        <v>2052</v>
      </c>
      <c r="L5" s="29">
        <v>1835</v>
      </c>
      <c r="M5" s="29">
        <v>1605</v>
      </c>
      <c r="N5" s="40">
        <v>4652</v>
      </c>
      <c r="O5" s="40">
        <v>251</v>
      </c>
      <c r="P5" s="40">
        <v>1015</v>
      </c>
      <c r="Q5" s="40">
        <v>1844</v>
      </c>
      <c r="R5" s="30">
        <v>7762</v>
      </c>
    </row>
    <row r="6" spans="1:18">
      <c r="A6" s="96">
        <v>2021</v>
      </c>
      <c r="B6" s="29">
        <v>420</v>
      </c>
      <c r="C6" s="29">
        <v>684</v>
      </c>
      <c r="D6" s="29">
        <v>1656</v>
      </c>
      <c r="E6" s="29">
        <v>1234</v>
      </c>
      <c r="F6" s="29">
        <v>1086</v>
      </c>
      <c r="G6" s="29">
        <v>802</v>
      </c>
      <c r="H6" s="29">
        <v>784</v>
      </c>
      <c r="I6" s="29">
        <v>660</v>
      </c>
      <c r="J6" s="29">
        <v>707</v>
      </c>
      <c r="K6" s="29">
        <v>301</v>
      </c>
      <c r="L6" s="29">
        <v>860</v>
      </c>
      <c r="M6" s="29">
        <v>5458</v>
      </c>
      <c r="N6" s="40">
        <v>1490</v>
      </c>
      <c r="O6" s="40">
        <v>97</v>
      </c>
      <c r="P6" s="40">
        <v>214</v>
      </c>
      <c r="Q6" s="40">
        <v>5525</v>
      </c>
      <c r="R6" s="30">
        <v>7326</v>
      </c>
    </row>
    <row r="7" spans="1:18">
      <c r="A7" s="97">
        <v>2020</v>
      </c>
      <c r="B7" s="32">
        <v>419</v>
      </c>
      <c r="C7" s="32">
        <v>629</v>
      </c>
      <c r="D7" s="32">
        <v>1274</v>
      </c>
      <c r="E7" s="32">
        <v>1038</v>
      </c>
      <c r="F7" s="32">
        <v>908</v>
      </c>
      <c r="G7" s="32">
        <v>691</v>
      </c>
      <c r="H7" s="32">
        <v>640</v>
      </c>
      <c r="I7" s="32">
        <v>579</v>
      </c>
      <c r="J7" s="32">
        <v>868</v>
      </c>
      <c r="K7" s="32">
        <v>280</v>
      </c>
      <c r="L7" s="32">
        <v>679</v>
      </c>
      <c r="M7" s="32">
        <v>4351</v>
      </c>
      <c r="N7" s="42">
        <v>1496</v>
      </c>
      <c r="O7" s="42">
        <v>102</v>
      </c>
      <c r="P7" s="42">
        <v>190</v>
      </c>
      <c r="Q7" s="42">
        <v>4390</v>
      </c>
      <c r="R7" s="33">
        <v>6178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1FDED-DCB7-4259-9AB0-F19E05949B8D}">
  <dimension ref="A1:D138"/>
  <sheetViews>
    <sheetView zoomScale="63" workbookViewId="0">
      <selection activeCell="B21" sqref="B21:B28"/>
    </sheetView>
  </sheetViews>
  <sheetFormatPr defaultRowHeight="14.4"/>
  <cols>
    <col min="2" max="2" width="51.88671875" customWidth="1"/>
    <col min="3" max="4" width="54.88671875" customWidth="1"/>
  </cols>
  <sheetData>
    <row r="1" spans="1:4">
      <c r="A1" s="102" t="s">
        <v>106</v>
      </c>
      <c r="B1" s="102"/>
      <c r="C1" s="102"/>
      <c r="D1" s="102" t="s">
        <v>107</v>
      </c>
    </row>
    <row r="2" spans="1:4" ht="15" thickBot="1">
      <c r="A2" s="103" t="s">
        <v>108</v>
      </c>
      <c r="B2" s="103" t="s">
        <v>109</v>
      </c>
      <c r="C2" s="103" t="s">
        <v>110</v>
      </c>
      <c r="D2" s="104" t="s">
        <v>111</v>
      </c>
    </row>
    <row r="3" spans="1:4">
      <c r="A3" s="155">
        <v>1</v>
      </c>
      <c r="B3" s="144" t="s">
        <v>112</v>
      </c>
      <c r="C3" s="105" t="s">
        <v>113</v>
      </c>
      <c r="D3" s="106" t="s">
        <v>114</v>
      </c>
    </row>
    <row r="4" spans="1:4" ht="15" thickBot="1">
      <c r="A4" s="156"/>
      <c r="B4" s="146"/>
      <c r="C4" s="107" t="s">
        <v>18</v>
      </c>
      <c r="D4" s="108" t="s">
        <v>115</v>
      </c>
    </row>
    <row r="5" spans="1:4">
      <c r="A5" s="141">
        <v>2</v>
      </c>
      <c r="B5" s="149" t="s">
        <v>116</v>
      </c>
      <c r="C5" s="105" t="s">
        <v>113</v>
      </c>
      <c r="D5" s="106" t="s">
        <v>117</v>
      </c>
    </row>
    <row r="6" spans="1:4">
      <c r="A6" s="142"/>
      <c r="B6" s="160"/>
      <c r="C6" s="110" t="s">
        <v>118</v>
      </c>
      <c r="D6" s="111" t="s">
        <v>119</v>
      </c>
    </row>
    <row r="7" spans="1:4">
      <c r="A7" s="142"/>
      <c r="B7" s="160"/>
      <c r="C7" s="110" t="s">
        <v>120</v>
      </c>
      <c r="D7" s="111" t="s">
        <v>121</v>
      </c>
    </row>
    <row r="8" spans="1:4" ht="55.8" thickBot="1">
      <c r="A8" s="143"/>
      <c r="B8" s="150"/>
      <c r="C8" s="107" t="s">
        <v>122</v>
      </c>
      <c r="D8" s="108" t="s">
        <v>123</v>
      </c>
    </row>
    <row r="9" spans="1:4" ht="41.4">
      <c r="A9" s="142">
        <v>3</v>
      </c>
      <c r="B9" s="145" t="s">
        <v>124</v>
      </c>
      <c r="C9" s="110" t="s">
        <v>69</v>
      </c>
      <c r="D9" s="111" t="s">
        <v>125</v>
      </c>
    </row>
    <row r="10" spans="1:4">
      <c r="A10" s="142"/>
      <c r="B10" s="145"/>
      <c r="C10" s="110" t="s">
        <v>71</v>
      </c>
      <c r="D10" s="111" t="s">
        <v>126</v>
      </c>
    </row>
    <row r="11" spans="1:4" ht="55.2">
      <c r="A11" s="142"/>
      <c r="B11" s="145"/>
      <c r="C11" s="110" t="s">
        <v>70</v>
      </c>
      <c r="D11" s="111" t="s">
        <v>127</v>
      </c>
    </row>
    <row r="12" spans="1:4" ht="69">
      <c r="A12" s="142"/>
      <c r="B12" s="145"/>
      <c r="C12" s="110" t="s">
        <v>128</v>
      </c>
      <c r="D12" s="111" t="s">
        <v>129</v>
      </c>
    </row>
    <row r="13" spans="1:4" ht="15" thickBot="1">
      <c r="A13" s="143"/>
      <c r="B13" s="146"/>
      <c r="C13" s="107" t="s">
        <v>65</v>
      </c>
      <c r="D13" s="108" t="s">
        <v>130</v>
      </c>
    </row>
    <row r="14" spans="1:4" ht="27.6">
      <c r="A14" s="141">
        <v>4</v>
      </c>
      <c r="B14" s="144" t="s">
        <v>131</v>
      </c>
      <c r="C14" s="105" t="s">
        <v>132</v>
      </c>
      <c r="D14" s="106" t="s">
        <v>133</v>
      </c>
    </row>
    <row r="15" spans="1:4" ht="41.4">
      <c r="A15" s="142"/>
      <c r="B15" s="145"/>
      <c r="C15" s="110" t="s">
        <v>128</v>
      </c>
      <c r="D15" s="111" t="s">
        <v>134</v>
      </c>
    </row>
    <row r="16" spans="1:4" ht="28.2" thickBot="1">
      <c r="A16" s="143"/>
      <c r="B16" s="146"/>
      <c r="C16" s="107" t="s">
        <v>65</v>
      </c>
      <c r="D16" s="108" t="s">
        <v>135</v>
      </c>
    </row>
    <row r="17" spans="1:4">
      <c r="A17" s="141">
        <v>5</v>
      </c>
      <c r="B17" s="144" t="s">
        <v>136</v>
      </c>
      <c r="C17" s="105" t="s">
        <v>118</v>
      </c>
      <c r="D17" s="106" t="s">
        <v>137</v>
      </c>
    </row>
    <row r="18" spans="1:4" ht="15" thickBot="1">
      <c r="A18" s="142"/>
      <c r="B18" s="145"/>
      <c r="C18" s="110" t="s">
        <v>68</v>
      </c>
      <c r="D18" s="111" t="s">
        <v>138</v>
      </c>
    </row>
    <row r="19" spans="1:4" ht="27.6">
      <c r="A19" s="141">
        <v>6</v>
      </c>
      <c r="B19" s="144" t="s">
        <v>139</v>
      </c>
      <c r="C19" s="105" t="s">
        <v>73</v>
      </c>
      <c r="D19" s="106" t="s">
        <v>140</v>
      </c>
    </row>
    <row r="20" spans="1:4" ht="15" thickBot="1">
      <c r="A20" s="143"/>
      <c r="B20" s="146"/>
      <c r="C20" s="107" t="s">
        <v>33</v>
      </c>
      <c r="D20" s="108" t="s">
        <v>141</v>
      </c>
    </row>
    <row r="21" spans="1:4">
      <c r="A21" s="147">
        <v>7</v>
      </c>
      <c r="B21" s="149" t="s">
        <v>142</v>
      </c>
      <c r="C21" s="105" t="s">
        <v>132</v>
      </c>
      <c r="D21" s="106" t="s">
        <v>143</v>
      </c>
    </row>
    <row r="22" spans="1:4" ht="41.4">
      <c r="A22" s="159"/>
      <c r="B22" s="160"/>
      <c r="C22" s="110" t="s">
        <v>144</v>
      </c>
      <c r="D22" s="111" t="s">
        <v>145</v>
      </c>
    </row>
    <row r="23" spans="1:4">
      <c r="A23" s="159"/>
      <c r="B23" s="160"/>
      <c r="C23" s="110" t="s">
        <v>146</v>
      </c>
      <c r="D23" s="111" t="s">
        <v>147</v>
      </c>
    </row>
    <row r="24" spans="1:4" ht="27.6">
      <c r="A24" s="159"/>
      <c r="B24" s="160"/>
      <c r="C24" s="110" t="s">
        <v>148</v>
      </c>
      <c r="D24" s="111" t="s">
        <v>149</v>
      </c>
    </row>
    <row r="25" spans="1:4">
      <c r="A25" s="159"/>
      <c r="B25" s="160"/>
      <c r="C25" s="110" t="s">
        <v>150</v>
      </c>
      <c r="D25" s="111" t="s">
        <v>151</v>
      </c>
    </row>
    <row r="26" spans="1:4">
      <c r="A26" s="159"/>
      <c r="B26" s="160"/>
      <c r="C26" s="110" t="s">
        <v>38</v>
      </c>
      <c r="D26" s="111" t="s">
        <v>152</v>
      </c>
    </row>
    <row r="27" spans="1:4" ht="27.6">
      <c r="A27" s="159"/>
      <c r="B27" s="160"/>
      <c r="C27" s="110" t="s">
        <v>40</v>
      </c>
      <c r="D27" s="111" t="s">
        <v>153</v>
      </c>
    </row>
    <row r="28" spans="1:4" ht="15" thickBot="1">
      <c r="A28" s="148"/>
      <c r="B28" s="150"/>
      <c r="C28" s="107" t="s">
        <v>154</v>
      </c>
      <c r="D28" s="108" t="s">
        <v>155</v>
      </c>
    </row>
    <row r="29" spans="1:4">
      <c r="A29" s="161">
        <v>8</v>
      </c>
      <c r="B29" s="162" t="s">
        <v>156</v>
      </c>
      <c r="C29" s="110" t="s">
        <v>132</v>
      </c>
      <c r="D29" s="111" t="s">
        <v>157</v>
      </c>
    </row>
    <row r="30" spans="1:4" ht="27.6">
      <c r="A30" s="159"/>
      <c r="B30" s="160"/>
      <c r="C30" s="110" t="s">
        <v>158</v>
      </c>
      <c r="D30" s="111" t="s">
        <v>159</v>
      </c>
    </row>
    <row r="31" spans="1:4">
      <c r="A31" s="159"/>
      <c r="B31" s="160"/>
      <c r="C31" s="110" t="s">
        <v>160</v>
      </c>
      <c r="D31" s="111" t="s">
        <v>161</v>
      </c>
    </row>
    <row r="32" spans="1:4">
      <c r="A32" s="159"/>
      <c r="B32" s="160"/>
      <c r="C32" s="110" t="s">
        <v>162</v>
      </c>
      <c r="D32" s="111" t="s">
        <v>163</v>
      </c>
    </row>
    <row r="33" spans="1:4">
      <c r="A33" s="159"/>
      <c r="B33" s="160"/>
      <c r="C33" s="110" t="s">
        <v>164</v>
      </c>
      <c r="D33" s="111" t="s">
        <v>165</v>
      </c>
    </row>
    <row r="34" spans="1:4" ht="15" thickBot="1">
      <c r="A34" s="148"/>
      <c r="B34" s="150"/>
      <c r="C34" s="107" t="s">
        <v>166</v>
      </c>
      <c r="D34" s="108" t="s">
        <v>167</v>
      </c>
    </row>
    <row r="35" spans="1:4">
      <c r="A35" s="141">
        <v>9</v>
      </c>
      <c r="B35" s="144" t="s">
        <v>168</v>
      </c>
      <c r="C35" s="105" t="s">
        <v>132</v>
      </c>
      <c r="D35" s="106" t="s">
        <v>169</v>
      </c>
    </row>
    <row r="36" spans="1:4">
      <c r="A36" s="142"/>
      <c r="B36" s="145"/>
      <c r="C36" s="145" t="s">
        <v>158</v>
      </c>
      <c r="D36" s="111" t="s">
        <v>170</v>
      </c>
    </row>
    <row r="37" spans="1:4">
      <c r="A37" s="142"/>
      <c r="B37" s="145"/>
      <c r="C37" s="145"/>
      <c r="D37" s="111" t="s">
        <v>171</v>
      </c>
    </row>
    <row r="38" spans="1:4">
      <c r="A38" s="142"/>
      <c r="B38" s="145"/>
      <c r="C38" s="110" t="s">
        <v>166</v>
      </c>
      <c r="D38" s="111" t="s">
        <v>172</v>
      </c>
    </row>
    <row r="39" spans="1:4" ht="28.2" thickBot="1">
      <c r="A39" s="143"/>
      <c r="B39" s="146"/>
      <c r="C39" s="107" t="s">
        <v>160</v>
      </c>
      <c r="D39" s="108" t="s">
        <v>173</v>
      </c>
    </row>
    <row r="40" spans="1:4" ht="55.2">
      <c r="A40" s="141">
        <v>10</v>
      </c>
      <c r="B40" s="144" t="s">
        <v>174</v>
      </c>
      <c r="C40" s="144" t="s">
        <v>113</v>
      </c>
      <c r="D40" s="112" t="s">
        <v>175</v>
      </c>
    </row>
    <row r="41" spans="1:4" ht="27.6">
      <c r="A41" s="142"/>
      <c r="B41" s="145"/>
      <c r="C41" s="145"/>
      <c r="D41" s="113" t="s">
        <v>176</v>
      </c>
    </row>
    <row r="42" spans="1:4">
      <c r="A42" s="142"/>
      <c r="B42" s="145" t="s">
        <v>177</v>
      </c>
      <c r="C42" s="145"/>
      <c r="D42" s="113" t="s">
        <v>178</v>
      </c>
    </row>
    <row r="43" spans="1:4">
      <c r="A43" s="142"/>
      <c r="B43" s="145"/>
      <c r="C43" s="145"/>
      <c r="D43" s="113" t="s">
        <v>179</v>
      </c>
    </row>
    <row r="44" spans="1:4">
      <c r="A44" s="142"/>
      <c r="B44" s="145"/>
      <c r="C44" s="110" t="s">
        <v>180</v>
      </c>
      <c r="D44" s="113" t="s">
        <v>181</v>
      </c>
    </row>
    <row r="45" spans="1:4" ht="28.2" thickBot="1">
      <c r="A45" s="143"/>
      <c r="B45" s="146"/>
      <c r="C45" s="107" t="s">
        <v>69</v>
      </c>
      <c r="D45" s="114" t="s">
        <v>182</v>
      </c>
    </row>
    <row r="46" spans="1:4">
      <c r="A46" s="141">
        <v>11</v>
      </c>
      <c r="B46" s="144" t="s">
        <v>183</v>
      </c>
      <c r="C46" s="105" t="s">
        <v>113</v>
      </c>
      <c r="D46" s="106" t="s">
        <v>184</v>
      </c>
    </row>
    <row r="47" spans="1:4">
      <c r="A47" s="142"/>
      <c r="B47" s="145"/>
      <c r="C47" s="145" t="s">
        <v>185</v>
      </c>
      <c r="D47" s="111" t="s">
        <v>186</v>
      </c>
    </row>
    <row r="48" spans="1:4" ht="15" thickBot="1">
      <c r="A48" s="143"/>
      <c r="B48" s="146"/>
      <c r="C48" s="146"/>
      <c r="D48" s="108" t="s">
        <v>187</v>
      </c>
    </row>
    <row r="49" spans="1:4">
      <c r="A49" s="141">
        <v>12</v>
      </c>
      <c r="B49" s="144" t="s">
        <v>188</v>
      </c>
      <c r="C49" s="105" t="s">
        <v>189</v>
      </c>
      <c r="D49" s="106" t="s">
        <v>190</v>
      </c>
    </row>
    <row r="50" spans="1:4" ht="15" thickBot="1">
      <c r="A50" s="143"/>
      <c r="B50" s="146"/>
      <c r="C50" s="107" t="s">
        <v>191</v>
      </c>
      <c r="D50" s="108" t="s">
        <v>192</v>
      </c>
    </row>
    <row r="51" spans="1:4" ht="15" thickBot="1">
      <c r="A51" s="115">
        <v>13</v>
      </c>
      <c r="B51" s="116" t="s">
        <v>193</v>
      </c>
      <c r="C51" s="116" t="s">
        <v>194</v>
      </c>
      <c r="D51" s="117" t="s">
        <v>195</v>
      </c>
    </row>
    <row r="52" spans="1:4" ht="27.6">
      <c r="A52" s="141">
        <v>14</v>
      </c>
      <c r="B52" s="144" t="s">
        <v>196</v>
      </c>
      <c r="C52" s="105" t="s">
        <v>21</v>
      </c>
      <c r="D52" s="106" t="s">
        <v>197</v>
      </c>
    </row>
    <row r="53" spans="1:4" ht="15" thickBot="1">
      <c r="A53" s="143"/>
      <c r="B53" s="146"/>
      <c r="C53" s="107" t="s">
        <v>67</v>
      </c>
      <c r="D53" s="108" t="s">
        <v>198</v>
      </c>
    </row>
    <row r="54" spans="1:4" ht="15" thickBot="1">
      <c r="A54" s="115">
        <v>15</v>
      </c>
      <c r="B54" s="116" t="s">
        <v>199</v>
      </c>
      <c r="C54" s="116" t="s">
        <v>200</v>
      </c>
      <c r="D54" s="117" t="s">
        <v>201</v>
      </c>
    </row>
    <row r="55" spans="1:4" ht="28.2" thickBot="1">
      <c r="A55" s="115">
        <v>16</v>
      </c>
      <c r="B55" s="116" t="s">
        <v>202</v>
      </c>
      <c r="C55" s="116" t="s">
        <v>200</v>
      </c>
      <c r="D55" s="117" t="s">
        <v>203</v>
      </c>
    </row>
    <row r="56" spans="1:4" ht="15" thickBot="1">
      <c r="A56" s="115">
        <v>17</v>
      </c>
      <c r="B56" s="116" t="s">
        <v>204</v>
      </c>
      <c r="C56" s="116" t="s">
        <v>200</v>
      </c>
      <c r="D56" s="117" t="s">
        <v>205</v>
      </c>
    </row>
    <row r="57" spans="1:4" ht="15" thickBot="1">
      <c r="A57" s="115">
        <v>18</v>
      </c>
      <c r="B57" s="116" t="s">
        <v>206</v>
      </c>
      <c r="C57" s="116" t="s">
        <v>200</v>
      </c>
      <c r="D57" s="117" t="s">
        <v>207</v>
      </c>
    </row>
    <row r="58" spans="1:4" ht="15" thickBot="1">
      <c r="A58" s="115">
        <v>19</v>
      </c>
      <c r="B58" s="116" t="s">
        <v>208</v>
      </c>
      <c r="C58" s="116" t="s">
        <v>209</v>
      </c>
      <c r="D58" s="117" t="s">
        <v>210</v>
      </c>
    </row>
    <row r="59" spans="1:4" ht="15" thickBot="1">
      <c r="A59" s="115">
        <v>20</v>
      </c>
      <c r="B59" s="116" t="s">
        <v>211</v>
      </c>
      <c r="C59" s="116" t="s">
        <v>209</v>
      </c>
      <c r="D59" s="117" t="s">
        <v>212</v>
      </c>
    </row>
    <row r="60" spans="1:4">
      <c r="A60" s="142">
        <v>21</v>
      </c>
      <c r="B60" s="145" t="s">
        <v>213</v>
      </c>
      <c r="C60" s="105" t="s">
        <v>68</v>
      </c>
      <c r="D60" s="106" t="s">
        <v>214</v>
      </c>
    </row>
    <row r="61" spans="1:4" ht="15" thickBot="1">
      <c r="A61" s="143"/>
      <c r="B61" s="146"/>
      <c r="C61" s="107" t="s">
        <v>67</v>
      </c>
      <c r="D61" s="108" t="s">
        <v>215</v>
      </c>
    </row>
    <row r="62" spans="1:4" ht="15" thickBot="1">
      <c r="A62" s="115">
        <v>22</v>
      </c>
      <c r="B62" s="116" t="s">
        <v>216</v>
      </c>
      <c r="C62" s="116" t="s">
        <v>209</v>
      </c>
      <c r="D62" s="117" t="s">
        <v>217</v>
      </c>
    </row>
    <row r="63" spans="1:4">
      <c r="A63" s="141">
        <v>23</v>
      </c>
      <c r="B63" s="144" t="s">
        <v>218</v>
      </c>
      <c r="C63" s="144" t="s">
        <v>209</v>
      </c>
      <c r="D63" s="106" t="s">
        <v>219</v>
      </c>
    </row>
    <row r="64" spans="1:4" ht="15" thickBot="1">
      <c r="A64" s="143"/>
      <c r="B64" s="146"/>
      <c r="C64" s="146"/>
      <c r="D64" s="108" t="s">
        <v>220</v>
      </c>
    </row>
    <row r="65" spans="1:4">
      <c r="A65" s="141">
        <v>24</v>
      </c>
      <c r="B65" s="144" t="s">
        <v>221</v>
      </c>
      <c r="C65" s="105" t="s">
        <v>68</v>
      </c>
      <c r="D65" s="106" t="s">
        <v>222</v>
      </c>
    </row>
    <row r="66" spans="1:4" ht="28.2" thickBot="1">
      <c r="A66" s="143"/>
      <c r="B66" s="146"/>
      <c r="C66" s="107" t="s">
        <v>18</v>
      </c>
      <c r="D66" s="108" t="s">
        <v>223</v>
      </c>
    </row>
    <row r="67" spans="1:4" ht="28.2" thickBot="1">
      <c r="A67" s="115">
        <v>25</v>
      </c>
      <c r="B67" s="116" t="s">
        <v>224</v>
      </c>
      <c r="C67" s="116" t="s">
        <v>69</v>
      </c>
      <c r="D67" s="118" t="s">
        <v>225</v>
      </c>
    </row>
    <row r="68" spans="1:4">
      <c r="A68" s="141">
        <v>26</v>
      </c>
      <c r="B68" s="144" t="s">
        <v>226</v>
      </c>
      <c r="C68" s="105" t="s">
        <v>227</v>
      </c>
      <c r="D68" s="106" t="s">
        <v>228</v>
      </c>
    </row>
    <row r="69" spans="1:4" ht="15" thickBot="1">
      <c r="A69" s="143"/>
      <c r="B69" s="146"/>
      <c r="C69" s="107" t="s">
        <v>68</v>
      </c>
      <c r="D69" s="108" t="s">
        <v>229</v>
      </c>
    </row>
    <row r="70" spans="1:4">
      <c r="A70" s="141">
        <v>27</v>
      </c>
      <c r="B70" s="144" t="s">
        <v>230</v>
      </c>
      <c r="C70" s="105" t="s">
        <v>231</v>
      </c>
      <c r="D70" s="106" t="s">
        <v>232</v>
      </c>
    </row>
    <row r="71" spans="1:4" ht="15" thickBot="1">
      <c r="A71" s="143"/>
      <c r="B71" s="146"/>
      <c r="C71" s="107" t="s">
        <v>67</v>
      </c>
      <c r="D71" s="108" t="s">
        <v>233</v>
      </c>
    </row>
    <row r="72" spans="1:4">
      <c r="A72" s="141">
        <v>28</v>
      </c>
      <c r="B72" s="157" t="s">
        <v>234</v>
      </c>
      <c r="C72" s="105" t="s">
        <v>66</v>
      </c>
      <c r="D72" s="106" t="s">
        <v>235</v>
      </c>
    </row>
    <row r="73" spans="1:4" ht="15" thickBot="1">
      <c r="A73" s="143"/>
      <c r="B73" s="158"/>
      <c r="C73" s="107" t="s">
        <v>209</v>
      </c>
      <c r="D73" s="108" t="s">
        <v>236</v>
      </c>
    </row>
    <row r="74" spans="1:4" ht="27.6">
      <c r="A74" s="141">
        <v>29</v>
      </c>
      <c r="B74" s="144" t="s">
        <v>237</v>
      </c>
      <c r="C74" s="105" t="s">
        <v>238</v>
      </c>
      <c r="D74" s="106" t="s">
        <v>239</v>
      </c>
    </row>
    <row r="75" spans="1:4">
      <c r="A75" s="142"/>
      <c r="B75" s="145"/>
      <c r="C75" s="110" t="s">
        <v>200</v>
      </c>
      <c r="D75" s="111" t="s">
        <v>240</v>
      </c>
    </row>
    <row r="76" spans="1:4" ht="15" thickBot="1">
      <c r="A76" s="143"/>
      <c r="B76" s="146"/>
      <c r="C76" s="107" t="s">
        <v>241</v>
      </c>
      <c r="D76" s="108" t="s">
        <v>242</v>
      </c>
    </row>
    <row r="77" spans="1:4">
      <c r="A77" s="141">
        <v>30</v>
      </c>
      <c r="B77" s="144" t="s">
        <v>243</v>
      </c>
      <c r="C77" s="105" t="s">
        <v>70</v>
      </c>
      <c r="D77" s="106" t="s">
        <v>244</v>
      </c>
    </row>
    <row r="78" spans="1:4" ht="28.2" thickBot="1">
      <c r="A78" s="143"/>
      <c r="B78" s="146"/>
      <c r="C78" s="107" t="s">
        <v>26</v>
      </c>
      <c r="D78" s="108" t="s">
        <v>245</v>
      </c>
    </row>
    <row r="79" spans="1:4">
      <c r="A79" s="141">
        <v>31</v>
      </c>
      <c r="B79" s="144" t="s">
        <v>246</v>
      </c>
      <c r="C79" s="105" t="s">
        <v>70</v>
      </c>
      <c r="D79" s="106" t="s">
        <v>247</v>
      </c>
    </row>
    <row r="80" spans="1:4" ht="15" thickBot="1">
      <c r="A80" s="143"/>
      <c r="B80" s="146"/>
      <c r="C80" s="107" t="s">
        <v>26</v>
      </c>
      <c r="D80" s="108" t="s">
        <v>248</v>
      </c>
    </row>
    <row r="81" spans="1:4" ht="28.2" thickBot="1">
      <c r="A81" s="109">
        <v>32</v>
      </c>
      <c r="B81" s="105" t="s">
        <v>249</v>
      </c>
      <c r="C81" s="105" t="s">
        <v>128</v>
      </c>
      <c r="D81" s="106" t="s">
        <v>250</v>
      </c>
    </row>
    <row r="82" spans="1:4">
      <c r="A82" s="155">
        <v>33</v>
      </c>
      <c r="B82" s="144" t="s">
        <v>251</v>
      </c>
      <c r="C82" s="105" t="s">
        <v>73</v>
      </c>
      <c r="D82" s="106" t="s">
        <v>252</v>
      </c>
    </row>
    <row r="83" spans="1:4" ht="28.2" thickBot="1">
      <c r="A83" s="156"/>
      <c r="B83" s="146"/>
      <c r="C83" s="107" t="s">
        <v>72</v>
      </c>
      <c r="D83" s="108" t="s">
        <v>253</v>
      </c>
    </row>
    <row r="84" spans="1:4" ht="15" thickBot="1">
      <c r="A84" s="121">
        <v>34</v>
      </c>
      <c r="B84" s="116" t="s">
        <v>254</v>
      </c>
      <c r="C84" s="116" t="s">
        <v>132</v>
      </c>
      <c r="D84" s="122" t="s">
        <v>255</v>
      </c>
    </row>
    <row r="85" spans="1:4" ht="15" thickBot="1">
      <c r="A85" s="115">
        <v>35</v>
      </c>
      <c r="B85" s="116" t="s">
        <v>256</v>
      </c>
      <c r="C85" s="116" t="s">
        <v>132</v>
      </c>
      <c r="D85" s="118" t="s">
        <v>257</v>
      </c>
    </row>
    <row r="86" spans="1:4" ht="15" thickBot="1">
      <c r="A86" s="115">
        <v>36</v>
      </c>
      <c r="B86" s="116" t="s">
        <v>258</v>
      </c>
      <c r="C86" s="116" t="s">
        <v>132</v>
      </c>
      <c r="D86" s="118" t="s">
        <v>259</v>
      </c>
    </row>
    <row r="87" spans="1:4" ht="15" thickBot="1">
      <c r="A87" s="115">
        <v>37</v>
      </c>
      <c r="B87" s="116" t="s">
        <v>260</v>
      </c>
      <c r="C87" s="116" t="s">
        <v>132</v>
      </c>
      <c r="D87" s="118" t="s">
        <v>261</v>
      </c>
    </row>
    <row r="88" spans="1:4" ht="15" thickBot="1">
      <c r="A88" s="115">
        <v>38</v>
      </c>
      <c r="B88" s="116" t="s">
        <v>262</v>
      </c>
      <c r="C88" s="116" t="s">
        <v>132</v>
      </c>
      <c r="D88" s="118" t="s">
        <v>263</v>
      </c>
    </row>
    <row r="89" spans="1:4" ht="15" thickBot="1">
      <c r="A89" s="115">
        <v>39</v>
      </c>
      <c r="B89" s="116" t="s">
        <v>264</v>
      </c>
      <c r="C89" s="116" t="s">
        <v>132</v>
      </c>
      <c r="D89" s="118" t="s">
        <v>263</v>
      </c>
    </row>
    <row r="90" spans="1:4" ht="15" thickBot="1">
      <c r="A90" s="115">
        <v>40</v>
      </c>
      <c r="B90" s="116" t="s">
        <v>265</v>
      </c>
      <c r="C90" s="116" t="s">
        <v>144</v>
      </c>
      <c r="D90" s="117" t="s">
        <v>266</v>
      </c>
    </row>
    <row r="91" spans="1:4" ht="28.2" thickBot="1">
      <c r="A91" s="115">
        <v>41</v>
      </c>
      <c r="B91" s="116" t="s">
        <v>267</v>
      </c>
      <c r="C91" s="116" t="s">
        <v>144</v>
      </c>
      <c r="D91" s="117" t="s">
        <v>268</v>
      </c>
    </row>
    <row r="92" spans="1:4" ht="15" thickBot="1">
      <c r="A92" s="115">
        <v>42</v>
      </c>
      <c r="B92" s="116" t="s">
        <v>269</v>
      </c>
      <c r="C92" s="116" t="s">
        <v>144</v>
      </c>
      <c r="D92" s="117" t="s">
        <v>270</v>
      </c>
    </row>
    <row r="93" spans="1:4">
      <c r="A93" s="142">
        <v>43</v>
      </c>
      <c r="B93" s="144" t="s">
        <v>271</v>
      </c>
      <c r="C93" s="110" t="s">
        <v>35</v>
      </c>
      <c r="D93" s="111" t="s">
        <v>272</v>
      </c>
    </row>
    <row r="94" spans="1:4" ht="15" thickBot="1">
      <c r="A94" s="143"/>
      <c r="B94" s="146"/>
      <c r="C94" s="107" t="s">
        <v>150</v>
      </c>
      <c r="D94" s="108" t="s">
        <v>273</v>
      </c>
    </row>
    <row r="95" spans="1:4" ht="15" thickBot="1">
      <c r="A95" s="115">
        <v>44</v>
      </c>
      <c r="B95" s="116" t="s">
        <v>274</v>
      </c>
      <c r="C95" s="116" t="s">
        <v>160</v>
      </c>
      <c r="D95" s="117" t="s">
        <v>275</v>
      </c>
    </row>
    <row r="96" spans="1:4">
      <c r="A96" s="141">
        <v>45</v>
      </c>
      <c r="B96" s="144" t="s">
        <v>276</v>
      </c>
      <c r="C96" s="144" t="s">
        <v>160</v>
      </c>
      <c r="D96" s="153" t="s">
        <v>277</v>
      </c>
    </row>
    <row r="97" spans="1:4">
      <c r="A97" s="142"/>
      <c r="B97" s="145"/>
      <c r="C97" s="145"/>
      <c r="D97" s="154"/>
    </row>
    <row r="98" spans="1:4" ht="15" thickBot="1">
      <c r="A98" s="143"/>
      <c r="B98" s="146"/>
      <c r="C98" s="107" t="s">
        <v>166</v>
      </c>
      <c r="D98" s="124" t="s">
        <v>278</v>
      </c>
    </row>
    <row r="99" spans="1:4" ht="15" thickBot="1">
      <c r="A99" s="115">
        <v>46</v>
      </c>
      <c r="B99" s="116" t="s">
        <v>279</v>
      </c>
      <c r="C99" s="116" t="s">
        <v>38</v>
      </c>
      <c r="D99" s="117" t="s">
        <v>280</v>
      </c>
    </row>
    <row r="100" spans="1:4" ht="15" thickBot="1">
      <c r="A100" s="109">
        <v>47</v>
      </c>
      <c r="B100" s="105" t="s">
        <v>281</v>
      </c>
      <c r="C100" s="105" t="s">
        <v>40</v>
      </c>
      <c r="D100" s="106" t="s">
        <v>282</v>
      </c>
    </row>
    <row r="101" spans="1:4" ht="15" thickBot="1">
      <c r="A101" s="115">
        <v>48</v>
      </c>
      <c r="B101" s="116" t="s">
        <v>283</v>
      </c>
      <c r="C101" s="116" t="s">
        <v>40</v>
      </c>
      <c r="D101" s="117" t="s">
        <v>284</v>
      </c>
    </row>
    <row r="102" spans="1:4" ht="15" thickBot="1">
      <c r="A102" s="115">
        <v>49</v>
      </c>
      <c r="B102" s="116" t="s">
        <v>285</v>
      </c>
      <c r="C102" s="116" t="s">
        <v>154</v>
      </c>
      <c r="D102" s="117" t="s">
        <v>286</v>
      </c>
    </row>
    <row r="103" spans="1:4" ht="15" thickBot="1">
      <c r="A103" s="115">
        <v>50</v>
      </c>
      <c r="B103" s="116" t="s">
        <v>287</v>
      </c>
      <c r="C103" s="116" t="s">
        <v>288</v>
      </c>
      <c r="D103" s="117" t="s">
        <v>289</v>
      </c>
    </row>
    <row r="104" spans="1:4" ht="15" thickBot="1">
      <c r="A104" s="115">
        <v>51</v>
      </c>
      <c r="B104" s="116" t="s">
        <v>290</v>
      </c>
      <c r="C104" s="125" t="s">
        <v>46</v>
      </c>
      <c r="D104" s="126" t="s">
        <v>291</v>
      </c>
    </row>
    <row r="105" spans="1:4" ht="15" thickBot="1">
      <c r="A105" s="115">
        <v>52</v>
      </c>
      <c r="B105" s="116" t="s">
        <v>292</v>
      </c>
      <c r="C105" s="125" t="s">
        <v>46</v>
      </c>
      <c r="D105" s="126" t="s">
        <v>293</v>
      </c>
    </row>
    <row r="106" spans="1:4" ht="15" thickBot="1">
      <c r="A106" s="109">
        <v>53</v>
      </c>
      <c r="B106" s="105" t="s">
        <v>294</v>
      </c>
      <c r="C106" s="127" t="s">
        <v>46</v>
      </c>
      <c r="D106" s="128" t="s">
        <v>295</v>
      </c>
    </row>
    <row r="107" spans="1:4">
      <c r="A107" s="147">
        <v>54</v>
      </c>
      <c r="B107" s="149" t="s">
        <v>296</v>
      </c>
      <c r="C107" s="127" t="s">
        <v>150</v>
      </c>
      <c r="D107" s="128" t="s">
        <v>297</v>
      </c>
    </row>
    <row r="108" spans="1:4" ht="15" thickBot="1">
      <c r="A108" s="148"/>
      <c r="B108" s="150"/>
      <c r="C108" s="129" t="s">
        <v>46</v>
      </c>
      <c r="D108" s="130" t="s">
        <v>298</v>
      </c>
    </row>
    <row r="109" spans="1:4" ht="28.2" thickBot="1">
      <c r="A109" s="115">
        <v>55</v>
      </c>
      <c r="B109" s="116" t="s">
        <v>299</v>
      </c>
      <c r="C109" s="125" t="s">
        <v>46</v>
      </c>
      <c r="D109" s="126" t="s">
        <v>300</v>
      </c>
    </row>
    <row r="110" spans="1:4" ht="15" thickBot="1">
      <c r="A110" s="115">
        <v>56</v>
      </c>
      <c r="B110" s="116" t="s">
        <v>301</v>
      </c>
      <c r="C110" s="125" t="s">
        <v>46</v>
      </c>
      <c r="D110" s="126" t="s">
        <v>302</v>
      </c>
    </row>
    <row r="111" spans="1:4" ht="15" thickBot="1">
      <c r="A111" s="115">
        <v>57</v>
      </c>
      <c r="B111" s="116" t="s">
        <v>303</v>
      </c>
      <c r="C111" s="125" t="s">
        <v>46</v>
      </c>
      <c r="D111" s="126" t="s">
        <v>304</v>
      </c>
    </row>
    <row r="112" spans="1:4" ht="28.2" thickBot="1">
      <c r="A112" s="115">
        <v>58</v>
      </c>
      <c r="B112" s="116" t="s">
        <v>305</v>
      </c>
      <c r="C112" s="125" t="s">
        <v>46</v>
      </c>
      <c r="D112" s="126" t="s">
        <v>306</v>
      </c>
    </row>
    <row r="113" spans="1:4" ht="28.2" thickBot="1">
      <c r="A113" s="115">
        <v>59</v>
      </c>
      <c r="B113" s="116" t="s">
        <v>307</v>
      </c>
      <c r="C113" s="125" t="s">
        <v>46</v>
      </c>
      <c r="D113" s="126" t="s">
        <v>308</v>
      </c>
    </row>
    <row r="114" spans="1:4" ht="15" thickBot="1">
      <c r="A114" s="115">
        <v>60</v>
      </c>
      <c r="B114" s="116" t="s">
        <v>309</v>
      </c>
      <c r="C114" s="125" t="s">
        <v>46</v>
      </c>
      <c r="D114" s="126" t="s">
        <v>310</v>
      </c>
    </row>
    <row r="115" spans="1:4" ht="15" thickBot="1">
      <c r="A115" s="115">
        <v>61</v>
      </c>
      <c r="B115" s="116" t="s">
        <v>311</v>
      </c>
      <c r="C115" s="125" t="s">
        <v>312</v>
      </c>
      <c r="D115" s="126" t="s">
        <v>313</v>
      </c>
    </row>
    <row r="116" spans="1:4" ht="15" thickBot="1">
      <c r="A116" s="115">
        <v>62</v>
      </c>
      <c r="B116" s="116" t="s">
        <v>314</v>
      </c>
      <c r="C116" s="131" t="s">
        <v>312</v>
      </c>
      <c r="D116" s="132" t="s">
        <v>315</v>
      </c>
    </row>
    <row r="117" spans="1:4" ht="15" thickBot="1">
      <c r="A117" s="115">
        <v>63</v>
      </c>
      <c r="B117" s="116" t="s">
        <v>316</v>
      </c>
      <c r="C117" s="131" t="s">
        <v>50</v>
      </c>
      <c r="D117" s="132" t="s">
        <v>317</v>
      </c>
    </row>
    <row r="118" spans="1:4" ht="27.6">
      <c r="A118" s="141">
        <v>64</v>
      </c>
      <c r="B118" s="144" t="s">
        <v>318</v>
      </c>
      <c r="C118" s="151" t="s">
        <v>50</v>
      </c>
      <c r="D118" s="123" t="s">
        <v>319</v>
      </c>
    </row>
    <row r="119" spans="1:4" ht="15" thickBot="1">
      <c r="A119" s="143"/>
      <c r="B119" s="146"/>
      <c r="C119" s="152"/>
      <c r="D119" s="124" t="s">
        <v>320</v>
      </c>
    </row>
    <row r="120" spans="1:4" ht="15" thickBot="1">
      <c r="A120" s="115">
        <v>65</v>
      </c>
      <c r="B120" s="116" t="s">
        <v>321</v>
      </c>
      <c r="C120" s="133" t="s">
        <v>50</v>
      </c>
      <c r="D120" s="117" t="s">
        <v>322</v>
      </c>
    </row>
    <row r="121" spans="1:4" ht="15" thickBot="1">
      <c r="A121" s="115">
        <v>66</v>
      </c>
      <c r="B121" s="116" t="s">
        <v>323</v>
      </c>
      <c r="C121" s="133" t="s">
        <v>50</v>
      </c>
      <c r="D121" s="117" t="s">
        <v>324</v>
      </c>
    </row>
    <row r="122" spans="1:4" ht="15" thickBot="1">
      <c r="A122" s="115">
        <v>67</v>
      </c>
      <c r="B122" s="116" t="s">
        <v>325</v>
      </c>
      <c r="C122" s="133" t="s">
        <v>326</v>
      </c>
      <c r="D122" s="117" t="s">
        <v>327</v>
      </c>
    </row>
    <row r="123" spans="1:4" ht="27.6">
      <c r="A123" s="141">
        <v>68</v>
      </c>
      <c r="B123" s="144" t="s">
        <v>328</v>
      </c>
      <c r="C123" s="119" t="s">
        <v>64</v>
      </c>
      <c r="D123" s="106" t="s">
        <v>329</v>
      </c>
    </row>
    <row r="124" spans="1:4">
      <c r="A124" s="142"/>
      <c r="B124" s="145"/>
      <c r="C124" s="134" t="s">
        <v>132</v>
      </c>
      <c r="D124" s="111" t="s">
        <v>263</v>
      </c>
    </row>
    <row r="125" spans="1:4">
      <c r="A125" s="142"/>
      <c r="B125" s="145"/>
      <c r="C125" s="134" t="s">
        <v>118</v>
      </c>
      <c r="D125" s="111" t="s">
        <v>330</v>
      </c>
    </row>
    <row r="126" spans="1:4" ht="15" thickBot="1">
      <c r="A126" s="143"/>
      <c r="B126" s="146"/>
      <c r="C126" s="120" t="s">
        <v>68</v>
      </c>
      <c r="D126" s="108" t="s">
        <v>331</v>
      </c>
    </row>
    <row r="127" spans="1:4" ht="27.6">
      <c r="A127" s="141">
        <v>69</v>
      </c>
      <c r="B127" s="144" t="s">
        <v>332</v>
      </c>
      <c r="C127" s="119" t="s">
        <v>333</v>
      </c>
      <c r="D127" s="106" t="s">
        <v>334</v>
      </c>
    </row>
    <row r="128" spans="1:4">
      <c r="A128" s="142"/>
      <c r="B128" s="145"/>
      <c r="C128" s="134" t="s">
        <v>21</v>
      </c>
      <c r="D128" s="111" t="s">
        <v>335</v>
      </c>
    </row>
    <row r="129" spans="1:4">
      <c r="A129" s="142"/>
      <c r="B129" s="145"/>
      <c r="C129" s="134" t="s">
        <v>67</v>
      </c>
      <c r="D129" s="111" t="s">
        <v>336</v>
      </c>
    </row>
    <row r="130" spans="1:4" ht="27.6">
      <c r="A130" s="142"/>
      <c r="B130" s="145"/>
      <c r="C130" s="134" t="s">
        <v>26</v>
      </c>
      <c r="D130" s="111" t="s">
        <v>337</v>
      </c>
    </row>
    <row r="131" spans="1:4">
      <c r="A131" s="142"/>
      <c r="B131" s="145"/>
      <c r="C131" s="134" t="s">
        <v>72</v>
      </c>
      <c r="D131" s="111" t="s">
        <v>338</v>
      </c>
    </row>
    <row r="132" spans="1:4">
      <c r="A132" s="142"/>
      <c r="B132" s="145"/>
      <c r="C132" s="134" t="s">
        <v>65</v>
      </c>
      <c r="D132" s="111" t="s">
        <v>339</v>
      </c>
    </row>
    <row r="133" spans="1:4" ht="15" thickBot="1">
      <c r="A133" s="143"/>
      <c r="B133" s="146"/>
      <c r="C133" s="120" t="s">
        <v>44</v>
      </c>
      <c r="D133" s="108" t="s">
        <v>340</v>
      </c>
    </row>
    <row r="134" spans="1:4">
      <c r="A134" s="141">
        <v>70</v>
      </c>
      <c r="B134" s="144" t="s">
        <v>341</v>
      </c>
      <c r="C134" s="119" t="s">
        <v>189</v>
      </c>
      <c r="D134" s="106" t="s">
        <v>342</v>
      </c>
    </row>
    <row r="135" spans="1:4">
      <c r="A135" s="142"/>
      <c r="B135" s="145"/>
      <c r="C135" s="134" t="s">
        <v>73</v>
      </c>
      <c r="D135" s="111" t="s">
        <v>263</v>
      </c>
    </row>
    <row r="136" spans="1:4" ht="27.6">
      <c r="A136" s="142"/>
      <c r="B136" s="145"/>
      <c r="C136" s="134" t="s">
        <v>343</v>
      </c>
      <c r="D136" s="111" t="s">
        <v>344</v>
      </c>
    </row>
    <row r="137" spans="1:4">
      <c r="A137" s="142"/>
      <c r="B137" s="145"/>
      <c r="C137" s="134" t="s">
        <v>33</v>
      </c>
      <c r="D137" s="111" t="s">
        <v>345</v>
      </c>
    </row>
    <row r="138" spans="1:4" ht="15" thickBot="1">
      <c r="A138" s="143"/>
      <c r="B138" s="146"/>
      <c r="C138" s="120" t="s">
        <v>209</v>
      </c>
      <c r="D138" s="108" t="s">
        <v>346</v>
      </c>
    </row>
  </sheetData>
  <mergeCells count="68">
    <mergeCell ref="A3:A4"/>
    <mergeCell ref="B3:B4"/>
    <mergeCell ref="A5:A8"/>
    <mergeCell ref="B5:B8"/>
    <mergeCell ref="A9:A13"/>
    <mergeCell ref="B9:B13"/>
    <mergeCell ref="A14:A16"/>
    <mergeCell ref="B14:B16"/>
    <mergeCell ref="A17:A18"/>
    <mergeCell ref="B17:B18"/>
    <mergeCell ref="A19:A20"/>
    <mergeCell ref="B19:B20"/>
    <mergeCell ref="A46:A48"/>
    <mergeCell ref="B46:B48"/>
    <mergeCell ref="C47:C48"/>
    <mergeCell ref="A21:A28"/>
    <mergeCell ref="B21:B28"/>
    <mergeCell ref="A29:A34"/>
    <mergeCell ref="B29:B34"/>
    <mergeCell ref="A35:A39"/>
    <mergeCell ref="B35:B39"/>
    <mergeCell ref="C36:C37"/>
    <mergeCell ref="A40:A45"/>
    <mergeCell ref="B40:B41"/>
    <mergeCell ref="C40:C43"/>
    <mergeCell ref="B42:B45"/>
    <mergeCell ref="A68:A69"/>
    <mergeCell ref="B68:B69"/>
    <mergeCell ref="A49:A50"/>
    <mergeCell ref="B49:B50"/>
    <mergeCell ref="A52:A53"/>
    <mergeCell ref="B52:B53"/>
    <mergeCell ref="A60:A61"/>
    <mergeCell ref="B60:B61"/>
    <mergeCell ref="A63:A64"/>
    <mergeCell ref="B63:B64"/>
    <mergeCell ref="C63:C64"/>
    <mergeCell ref="A65:A66"/>
    <mergeCell ref="B65:B66"/>
    <mergeCell ref="A70:A71"/>
    <mergeCell ref="B70:B71"/>
    <mergeCell ref="A72:A73"/>
    <mergeCell ref="B72:B73"/>
    <mergeCell ref="A74:A76"/>
    <mergeCell ref="B74:B76"/>
    <mergeCell ref="D96:D97"/>
    <mergeCell ref="A77:A78"/>
    <mergeCell ref="B77:B78"/>
    <mergeCell ref="A79:A80"/>
    <mergeCell ref="B79:B80"/>
    <mergeCell ref="A82:A83"/>
    <mergeCell ref="B82:B83"/>
    <mergeCell ref="C118:C119"/>
    <mergeCell ref="A123:A126"/>
    <mergeCell ref="B123:B126"/>
    <mergeCell ref="A93:A94"/>
    <mergeCell ref="B93:B94"/>
    <mergeCell ref="A96:A98"/>
    <mergeCell ref="B96:B98"/>
    <mergeCell ref="C96:C97"/>
    <mergeCell ref="A127:A133"/>
    <mergeCell ref="B127:B133"/>
    <mergeCell ref="A134:A138"/>
    <mergeCell ref="B134:B138"/>
    <mergeCell ref="A107:A108"/>
    <mergeCell ref="B107:B108"/>
    <mergeCell ref="A118:A119"/>
    <mergeCell ref="B118:B1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Cars accidents since 2020 </vt:lpstr>
      <vt:lpstr>Trains accidents since 2020</vt:lpstr>
      <vt:lpstr>2024 monthly dead</vt:lpstr>
      <vt:lpstr>2024 ambulances + population</vt:lpstr>
      <vt:lpstr>Govern aged deads 2024</vt:lpstr>
      <vt:lpstr>injuries 2020 to 2024</vt:lpstr>
      <vt:lpstr>Injuries 2020 to 2024 with ages</vt:lpstr>
      <vt:lpstr>monthly 2024 injuries by govern</vt:lpstr>
      <vt:lpstr>Dead 2020 to 2024 Each month</vt:lpstr>
      <vt:lpstr>Dead 2020 to 2024 with ages</vt:lpstr>
      <vt:lpstr>Dangerous points in Egypts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Fady Hany Wadie</dc:creator>
  <cp:lastModifiedBy>Fady Hana</cp:lastModifiedBy>
  <dcterms:created xsi:type="dcterms:W3CDTF">2015-06-05T18:17:20Z</dcterms:created>
  <dcterms:modified xsi:type="dcterms:W3CDTF">2026-03-10T13:12:29Z</dcterms:modified>
</cp:coreProperties>
</file>