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 الملخص العام" sheetId="1" state="visible" r:id="rId3"/>
    <sheet name="2- التوزيع الشهري" sheetId="2" state="visible" r:id="rId4"/>
    <sheet name="3- المحافظات 2024" sheetId="3" state="visible" r:id="rId5"/>
    <sheet name="4- السن والنوع" sheetId="4" state="visible" r:id="rId6"/>
    <sheet name="5- مستخدم الطريق والمركبة" sheetId="5" state="visible" r:id="rId7"/>
    <sheet name="6- حوادث القطارات" sheetId="6" state="visible" r:id="rId8"/>
    <sheet name="7- الإسعاف والنقاط الخطرة" sheetId="7" state="visible" r:id="rId9"/>
    <sheet name="8- الطرق الخطرة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<sst xmlns="http://schemas.openxmlformats.org/spreadsheetml/2006/main" count="671" uniqueCount="363">
  <si>
    <t xml:space="preserve">ملخص حوادث السيارات والقطارات (2020-2024) | Road &amp; Train Accidents Summary</t>
  </si>
  <si>
    <t xml:space="preserve">حوادث السيارات على الطرق | Road Car Accidents</t>
  </si>
  <si>
    <t xml:space="preserve">السنة</t>
  </si>
  <si>
    <t xml:space="preserve">الوفيات</t>
  </si>
  <si>
    <t xml:space="preserve">نسبة التغير %</t>
  </si>
  <si>
    <t xml:space="preserve">المصابين</t>
  </si>
  <si>
    <t xml:space="preserve">معدل القسوة</t>
  </si>
  <si>
    <t xml:space="preserve">الوفيات/100 ألف نسمة</t>
  </si>
  <si>
    <t xml:space="preserve">—</t>
  </si>
  <si>
    <t xml:space="preserve">حوادث القطارات | Train Accidents</t>
  </si>
  <si>
    <t xml:space="preserve">إجمالي الحوادث</t>
  </si>
  <si>
    <t xml:space="preserve">الحوادث/مليون راكب</t>
  </si>
  <si>
    <t xml:space="preserve">الوفيات/10000 نسمة</t>
  </si>
  <si>
    <t xml:space="preserve">التوزيع الشهري للإصابات والوفيات | Monthly Distribution of Injuries &amp; Deaths</t>
  </si>
  <si>
    <t xml:space="preserve">المصابين حسب الشهر | Injuries by Month</t>
  </si>
  <si>
    <t xml:space="preserve">يناير</t>
  </si>
  <si>
    <t xml:space="preserve">فبراير</t>
  </si>
  <si>
    <t xml:space="preserve">مارس</t>
  </si>
  <si>
    <t xml:space="preserve">ابريل</t>
  </si>
  <si>
    <t xml:space="preserve">مايو</t>
  </si>
  <si>
    <t xml:space="preserve">يونيو</t>
  </si>
  <si>
    <t xml:space="preserve">يوليو</t>
  </si>
  <si>
    <t xml:space="preserve">اغسطس</t>
  </si>
  <si>
    <t xml:space="preserve">سبتمبر</t>
  </si>
  <si>
    <t xml:space="preserve">اكتوبر</t>
  </si>
  <si>
    <t xml:space="preserve">نوفمبر</t>
  </si>
  <si>
    <t xml:space="preserve">ديسمبر</t>
  </si>
  <si>
    <t xml:space="preserve">الإجمالي</t>
  </si>
  <si>
    <t xml:space="preserve">الوفيات حسب الشهر | Deaths by Month</t>
  </si>
  <si>
    <t xml:space="preserve">توزيع الحوادث على المحافظات 2024 | Governorate Distribution 2024</t>
  </si>
  <si>
    <t xml:space="preserve">المحافظة</t>
  </si>
  <si>
    <t xml:space="preserve">Governorate</t>
  </si>
  <si>
    <t xml:space="preserve">إصابات 2024</t>
  </si>
  <si>
    <t xml:space="preserve">وفيات 2024</t>
  </si>
  <si>
    <t xml:space="preserve">نسبة الوفيات %</t>
  </si>
  <si>
    <t xml:space="preserve">السكان</t>
  </si>
  <si>
    <t xml:space="preserve">وفيات/100ألف نسمة</t>
  </si>
  <si>
    <t xml:space="preserve">إصابات/100ألف نسمة</t>
  </si>
  <si>
    <t xml:space="preserve">القاهره</t>
  </si>
  <si>
    <t xml:space="preserve">الاسكندريه</t>
  </si>
  <si>
    <t xml:space="preserve">السويس</t>
  </si>
  <si>
    <t xml:space="preserve">Suez</t>
  </si>
  <si>
    <t xml:space="preserve">الاسماعيليه</t>
  </si>
  <si>
    <t xml:space="preserve">دمياط</t>
  </si>
  <si>
    <t xml:space="preserve">Damietta</t>
  </si>
  <si>
    <t xml:space="preserve">الدقهليه</t>
  </si>
  <si>
    <t xml:space="preserve">الشرقيه</t>
  </si>
  <si>
    <t xml:space="preserve">القليوبيه</t>
  </si>
  <si>
    <t xml:space="preserve">كفر الشيخ</t>
  </si>
  <si>
    <t xml:space="preserve">الغربيه</t>
  </si>
  <si>
    <t xml:space="preserve">المنوفيه</t>
  </si>
  <si>
    <t xml:space="preserve">البحيره</t>
  </si>
  <si>
    <t xml:space="preserve">الجيزه</t>
  </si>
  <si>
    <t xml:space="preserve">بنى سويف</t>
  </si>
  <si>
    <t xml:space="preserve">Beni Suef</t>
  </si>
  <si>
    <t xml:space="preserve">الفيوم</t>
  </si>
  <si>
    <t xml:space="preserve">Fayoum</t>
  </si>
  <si>
    <t xml:space="preserve">المنيا</t>
  </si>
  <si>
    <t xml:space="preserve">Menia</t>
  </si>
  <si>
    <t xml:space="preserve">اسيوط</t>
  </si>
  <si>
    <t xml:space="preserve">سوهاج</t>
  </si>
  <si>
    <t xml:space="preserve">Suhag</t>
  </si>
  <si>
    <t xml:space="preserve">قنا</t>
  </si>
  <si>
    <t xml:space="preserve">Qena</t>
  </si>
  <si>
    <t xml:space="preserve">اسوان</t>
  </si>
  <si>
    <t xml:space="preserve">البحر الاحمر</t>
  </si>
  <si>
    <t xml:space="preserve">Red Sea</t>
  </si>
  <si>
    <t xml:space="preserve">الوادى الجديد</t>
  </si>
  <si>
    <t xml:space="preserve">Elwadi ElGidid</t>
  </si>
  <si>
    <t xml:space="preserve">مطروح</t>
  </si>
  <si>
    <t xml:space="preserve">Matrouh</t>
  </si>
  <si>
    <t xml:space="preserve">شمال سيناء</t>
  </si>
  <si>
    <t xml:space="preserve">North Sinai</t>
  </si>
  <si>
    <t xml:space="preserve">جنوب سيناء</t>
  </si>
  <si>
    <t xml:space="preserve">South Sinai</t>
  </si>
  <si>
    <t xml:space="preserve">Total</t>
  </si>
  <si>
    <t xml:space="preserve">توزيع المصابين والمتوفين حسب السن والنوع | Age &amp; Gender Distribution</t>
  </si>
  <si>
    <t xml:space="preserve">المصابين حسب النوع | Injuries by Gender</t>
  </si>
  <si>
    <t xml:space="preserve">المصابين حسب فئات السن | Injuries by Age Group</t>
  </si>
  <si>
    <t xml:space="preserve">ذكور</t>
  </si>
  <si>
    <t xml:space="preserve">إناث</t>
  </si>
  <si>
    <t xml:space="preserve">&lt;5</t>
  </si>
  <si>
    <t xml:space="preserve">5-</t>
  </si>
  <si>
    <t xml:space="preserve">15-</t>
  </si>
  <si>
    <t xml:space="preserve">25-</t>
  </si>
  <si>
    <t xml:space="preserve">35-</t>
  </si>
  <si>
    <t xml:space="preserve">45-</t>
  </si>
  <si>
    <t xml:space="preserve">55-</t>
  </si>
  <si>
    <t xml:space="preserve">65+</t>
  </si>
  <si>
    <t xml:space="preserve">الوفيات حسب النوع | Deaths by Gender</t>
  </si>
  <si>
    <t xml:space="preserve">الوفيات حسب فئات السن | Deaths by Age Group</t>
  </si>
  <si>
    <t xml:space="preserve">الإصابات والوفيات حسب مستخدم الطريق ونوع المركبة</t>
  </si>
  <si>
    <t xml:space="preserve">المصابين حسب مستخدم الطريق | Injuries by Road User</t>
  </si>
  <si>
    <t xml:space="preserve">المصابين حسب نوع المركبة | Injuries by Vehicle Type</t>
  </si>
  <si>
    <t xml:space="preserve">مشاة</t>
  </si>
  <si>
    <t xml:space="preserve">سائق</t>
  </si>
  <si>
    <t xml:space="preserve">راكب</t>
  </si>
  <si>
    <t xml:space="preserve">أخرى/غير معلوم</t>
  </si>
  <si>
    <t xml:space="preserve">سيارة</t>
  </si>
  <si>
    <t xml:space="preserve">قطار</t>
  </si>
  <si>
    <t xml:space="preserve">دراجة/ثلاثية</t>
  </si>
  <si>
    <t xml:space="preserve">أخرى</t>
  </si>
  <si>
    <t xml:space="preserve">الوفيات حسب مستخدم الطريق | Deaths by Road User</t>
  </si>
  <si>
    <t xml:space="preserve">الوفيات حسب نوع المركبة | Deaths by Vehicle Type</t>
  </si>
  <si>
    <t xml:space="preserve">موتوسيكل</t>
  </si>
  <si>
    <t xml:space="preserve">تفاصيل حوادث القطارات (2020-2024) | Train Accidents Detail</t>
  </si>
  <si>
    <t xml:space="preserve">الحوادث حسب المسؤلية | Accidents by Responsibility</t>
  </si>
  <si>
    <t xml:space="preserve">مسؤلية الهيئة</t>
  </si>
  <si>
    <t xml:space="preserve">مسؤلية الغير</t>
  </si>
  <si>
    <t xml:space="preserve">مسؤلية مشتركة</t>
  </si>
  <si>
    <t xml:space="preserve">حوادث أشخاص</t>
  </si>
  <si>
    <t xml:space="preserve">حوادث عاملين</t>
  </si>
  <si>
    <t xml:space="preserve">الإجمالي الكلي</t>
  </si>
  <si>
    <t xml:space="preserve">معدلات حوادث القطارات | Train Accident Rates</t>
  </si>
  <si>
    <t xml:space="preserve">الحوادث</t>
  </si>
  <si>
    <t xml:space="preserve">الركاب (م)</t>
  </si>
  <si>
    <t xml:space="preserve">معدل الخطورة</t>
  </si>
  <si>
    <t xml:space="preserve">الوفاة/شهر</t>
  </si>
  <si>
    <t xml:space="preserve">الإصابة/شهر</t>
  </si>
  <si>
    <t xml:space="preserve">FWSI</t>
  </si>
  <si>
    <t xml:space="preserve">مراكز الإسعاف والنقاط الخطرة | Ambulance Centers &amp; Dangerous Points</t>
  </si>
  <si>
    <t xml:space="preserve">نقاط الإسعاف</t>
  </si>
  <si>
    <t xml:space="preserve">سيارات الإسعاف</t>
  </si>
  <si>
    <t xml:space="preserve">مركز/100ألف</t>
  </si>
  <si>
    <t xml:space="preserve">سيارة/25ألف</t>
  </si>
  <si>
    <t xml:space="preserve">القاهرة</t>
  </si>
  <si>
    <t xml:space="preserve">Cairo</t>
  </si>
  <si>
    <t xml:space="preserve">الإسكندريـــــة</t>
  </si>
  <si>
    <t xml:space="preserve">Alexandria</t>
  </si>
  <si>
    <t xml:space="preserve">بورسعيد</t>
  </si>
  <si>
    <t xml:space="preserve">Port Said</t>
  </si>
  <si>
    <t xml:space="preserve">الدقهليـــــــة</t>
  </si>
  <si>
    <t xml:space="preserve">Dakahlia</t>
  </si>
  <si>
    <t xml:space="preserve">الشرقيــــــة</t>
  </si>
  <si>
    <t xml:space="preserve">Sharkia</t>
  </si>
  <si>
    <t xml:space="preserve">القليوبيــــــة</t>
  </si>
  <si>
    <t xml:space="preserve">Kalyoubia</t>
  </si>
  <si>
    <t xml:space="preserve">كفر الشيـــخ</t>
  </si>
  <si>
    <t xml:space="preserve">Kafr_ El Sheikh</t>
  </si>
  <si>
    <t xml:space="preserve">الغربية</t>
  </si>
  <si>
    <t xml:space="preserve">Gharbia</t>
  </si>
  <si>
    <t xml:space="preserve">المنوفيــــــة</t>
  </si>
  <si>
    <t xml:space="preserve">Menoufia</t>
  </si>
  <si>
    <t xml:space="preserve">البحيرة</t>
  </si>
  <si>
    <t xml:space="preserve">Behera</t>
  </si>
  <si>
    <t xml:space="preserve">الاسماعيلية</t>
  </si>
  <si>
    <t xml:space="preserve">Ismailia</t>
  </si>
  <si>
    <t xml:space="preserve">الجيـــــــــزة</t>
  </si>
  <si>
    <t xml:space="preserve">Giza</t>
  </si>
  <si>
    <t xml:space="preserve">أسيوط</t>
  </si>
  <si>
    <t xml:space="preserve">Asyout</t>
  </si>
  <si>
    <t xml:space="preserve">أسوان</t>
  </si>
  <si>
    <t xml:space="preserve">Aswan</t>
  </si>
  <si>
    <t xml:space="preserve">الاقصر</t>
  </si>
  <si>
    <t xml:space="preserve">Luxor</t>
  </si>
  <si>
    <t xml:space="preserve">النقاط الأكثر خطورة على الطرق 2024 | Most Dangerous Road Points 2024</t>
  </si>
  <si>
    <t xml:space="preserve">م</t>
  </si>
  <si>
    <t xml:space="preserve">اسم الطريق</t>
  </si>
  <si>
    <t xml:space="preserve">النقاط الخطرة</t>
  </si>
  <si>
    <t xml:space="preserve">القاهرة - السويس الصحراوى</t>
  </si>
  <si>
    <t xml:space="preserve">خلف معسكر مبارك - أمام دير بطمس - أمام مقابر الرحاب</t>
  </si>
  <si>
    <t xml:space="preserve">أمام الجامعه - طريق السلام كلا الإتجاهين</t>
  </si>
  <si>
    <t xml:space="preserve">القاهرة - الإسماعيلية - بورسعيد الصحراوى</t>
  </si>
  <si>
    <t xml:space="preserve">مناطق الكيلو 23 , 24 في الإتجاهين</t>
  </si>
  <si>
    <t xml:space="preserve">القليوبية</t>
  </si>
  <si>
    <t xml:space="preserve">أمام مدينة المستقبل - أمام سوق العبور- أمام أكوا بارك - صينية الفيروز</t>
  </si>
  <si>
    <t xml:space="preserve">الشرقية</t>
  </si>
  <si>
    <t xml:space="preserve">مدخل العاشر - كوبري سيراميكا - كوبري الأردنية</t>
  </si>
  <si>
    <t xml:space="preserve">الإسماعيلية</t>
  </si>
  <si>
    <t xml:space="preserve">من الكيلو 108 حتي الكيلو 110 ( منطقة المنايف ) - منطقة المعسكرات بعد محطة وقود طايع - إتجاه القاهرة - منطقة عز الدين للقادم من بورسعيد - إتجاه القاهرة منطقة السحر والجمال - صينية الغرب - الكيلو 17- الحرش - أمام الإستثمار - دوران شطا - أسفل كوبري المحور - أمام الخليجية</t>
  </si>
  <si>
    <t xml:space="preserve">القاهرة - الإسكندرية الزراعى</t>
  </si>
  <si>
    <t xml:space="preserve">أمام كوبرى الفرنوانى - كوبرى قلما - أمام نفق سندهور - مطلع كوبرى قليوب - مرور طوخ - مفارق المنصورة - مفارق سنديون - طلعة كوبرى قها - دوران سندنهور - عدد 2 دوران بمنطقة سنديون</t>
  </si>
  <si>
    <t xml:space="preserve">المنوفية</t>
  </si>
  <si>
    <t xml:space="preserve">دوران أبنهس</t>
  </si>
  <si>
    <t xml:space="preserve">منطقة مزلقات كفر العيص - الكيلو 114 / دوران كفر الشيخ مخلوف - الكيلو 129 - منطقة مزلقات التوفيقية 118 / أمام مصنع سينيوريتا / الدلجمون - شبرا النملة - دوران محطة وقود الشرقاوي - الكيلو 123 / أمام شركة البترول / نزله كوبري النيل</t>
  </si>
  <si>
    <t xml:space="preserve">عدد 2 دوران لقرية شبرا النوته ( إيتاي البارود ) - دوران قرية دنشال - دوران الإذاعة - دوران قرية اليمنية - أمام معهد الخدمة الاجتماعية - ومعهد بحوث الصحة الحيوانية بدمنهور - أمام كافتريا الشيخ محمد - معمل القزاز - بين أبو حمص كفر الدوار - قرية كفر مساعد - إيتاي البارود / أمام قرية البيضا - كفر الدوار - قرية أنور المفتي - أبو حمص</t>
  </si>
  <si>
    <t xml:space="preserve">الإسكندرية</t>
  </si>
  <si>
    <t xml:space="preserve">كمين أبيس - مدخل سموحة - مدخل الخشب - مطار النزهة</t>
  </si>
  <si>
    <t xml:space="preserve">القاهرة - الإسكندرية الصحراوى</t>
  </si>
  <si>
    <t xml:space="preserve">الجيزة</t>
  </si>
  <si>
    <t xml:space="preserve">الكيلو 6 - منطقة قطر الندي - من الكيلو 58 - حتي الكيلو 60 ( منطقة أبو غالب ) - الطريق بأكمله</t>
  </si>
  <si>
    <t xml:space="preserve">مدخل قرية التحدي - مدخل قرية الإمام مالك - أمام منطقة السجون - الكيلو 95 / الكيلو 102 - مدخل الدولي - الكيلو 62  / الكيلو 133 - مدخل التحدي - الكيلو 107 - مدخل الدلنجات</t>
  </si>
  <si>
    <t xml:space="preserve">كوبري العامرية - مدخل عبد القادر - أمام بتروجيت - منطقة عرابي - منطقة العامرية - منطقة المستعمرة - منطقة زوايه عبد القادر</t>
  </si>
  <si>
    <t xml:space="preserve">القاهرة - الإسماعيلية الزراعى</t>
  </si>
  <si>
    <t xml:space="preserve">كوبرى أبوشنب - أمام شركات البترول - مطلع مسطرد</t>
  </si>
  <si>
    <t xml:space="preserve">كوبرى الشباب - المنير</t>
  </si>
  <si>
    <t xml:space="preserve">القاهرة - الفيوم الصحراوى</t>
  </si>
  <si>
    <t xml:space="preserve">الكيلو 30 - مخرج من الطريق الداعم الرئيسي لمسافة 150 متر في الإتجاه القادم من ميدان الرمايه إتجاه الفيوم - من التجنيد إلي الدبابه - الكيلو 21 - الطريق بأكمله</t>
  </si>
  <si>
    <t xml:space="preserve">مدخل جرفس - أمام مساكن ميمنة - كوبرى البرم - أسفل كوبرى بيهمو</t>
  </si>
  <si>
    <t xml:space="preserve">القاهرة - أسوان الصحراوى الغربى</t>
  </si>
  <si>
    <t xml:space="preserve">من الكيلو 45 وحتي الكيلو 120 ( في الإتجاهين ) - الطريق بأكمله</t>
  </si>
  <si>
    <t xml:space="preserve">أمام صوامع قصر الباسل / أمام مدينة الفيوم / مطلع كوبري الواسطي - مدخل أبو صير - بني سويف في الإتجاه القادم من أسيوط - بين جرزا وطهما / مطلع 55 بعد الإقليمي</t>
  </si>
  <si>
    <t xml:space="preserve">أمام الصوامع - كمين سمسطا</t>
  </si>
  <si>
    <t xml:space="preserve">بحري البهنسا / بحري بلنصورة - محور سمالوط / مدخل مصنع السكر - بحري كارته المنيا</t>
  </si>
  <si>
    <t xml:space="preserve">قبلي كمين القوصيه - بحري بوابة أسيوط - قبلي أسمنت التعمير</t>
  </si>
  <si>
    <t xml:space="preserve">قرب مصنع الأسمنت</t>
  </si>
  <si>
    <t xml:space="preserve">مدخل الدير الغربي / مدخل بركه - إتجاه نجع حمادي - المزرعه اليابانية - مركز الوقف / كمين الكرنك - قنا - الوادي الجديد الغربي - مدخل الزوايده - مركز نقادة</t>
  </si>
  <si>
    <t xml:space="preserve">الصينية</t>
  </si>
  <si>
    <t xml:space="preserve">القاهرة - أسوان الصحراوى الشرقي</t>
  </si>
  <si>
    <t xml:space="preserve">الوادي الصحراوي</t>
  </si>
  <si>
    <t xml:space="preserve">نفق سنور / بحري وقبلي مدخل ملوي - بحري بوابة الرسوم - بحري وقبلي مدخل بني حسن</t>
  </si>
  <si>
    <t xml:space="preserve">الكيلو 25 - أول نفق إتجاه القاهرة</t>
  </si>
  <si>
    <t xml:space="preserve">بني سويف</t>
  </si>
  <si>
    <t xml:space="preserve">نفق أبو صالح - نفق سينور</t>
  </si>
  <si>
    <t xml:space="preserve">المسافة من الكيلو 45 إلي الكيلو 80</t>
  </si>
  <si>
    <t xml:space="preserve">دوران سوهاج مع سفاجا في الإتجاه البحري والقبلي</t>
  </si>
  <si>
    <t xml:space="preserve">القاهرة - أسوان الزراعي  الغربي</t>
  </si>
  <si>
    <t xml:space="preserve">نقطة مفارق جرزا</t>
  </si>
  <si>
    <t xml:space="preserve">كوبري النيل - بني مزار - محور سمالوط - قبلي أبو قرقاص</t>
  </si>
  <si>
    <t xml:space="preserve">طريق الأربعين</t>
  </si>
  <si>
    <t xml:space="preserve">عزبه روفائيل / مدخل بني رافع - مدخل بني شقير / عزبه الدارين - ملف أبو عزيز / مدخل شطب</t>
  </si>
  <si>
    <t xml:space="preserve">الطريق الدائرى</t>
  </si>
  <si>
    <t xml:space="preserve">مطلع كوبري المرج المستحدث إتجاه الزراعي / قبل منزل مسطرود إتجاه نفق السلام - أسفل كوبري محمد فوزي في الإتجاه القديم من التجمع الخامس - إتجاه المنيب - برج سما القادم من التجمع الخامس - إتجاه المنيب / أمام منزل الجزائر - إتجاه التجمع</t>
  </si>
  <si>
    <t xml:space="preserve">دائري الوراق - محور صفط اللبن - دائري المنيب</t>
  </si>
  <si>
    <t xml:space="preserve">تقاطع شبرا - بنها مع الدائري / أمام نزلة الخصوص - بين نزلة المرج والخصوص إتجاه الجيزة / أمام نزلة باسوس بين نزله بهتيم و مسطرد إتجاه السلام</t>
  </si>
  <si>
    <t xml:space="preserve">القاهرة - بلبيس الصحراوى</t>
  </si>
  <si>
    <t xml:space="preserve">الكيلو 26 أمام معهد العبور</t>
  </si>
  <si>
    <t xml:space="preserve">كوبري بردين / أبو سمران - مدخل بلبيس / أمام المظلات - أسفل الإقليمي</t>
  </si>
  <si>
    <t xml:space="preserve">القطامية - السخنة</t>
  </si>
  <si>
    <t xml:space="preserve">أمام محطة وقود المستر - مدخل المدينة الأولمبية - كافتريا الغزلان</t>
  </si>
  <si>
    <t xml:space="preserve">أمام مطاحن الخمس نجوم أول طريق السخنة - كلا الإتجاهين</t>
  </si>
  <si>
    <t xml:space="preserve">بورسعيد - دمياط</t>
  </si>
  <si>
    <t xml:space="preserve">كمين شطا - المطار- أمام حلواني الزيني وبدوي</t>
  </si>
  <si>
    <t xml:space="preserve">دمياط - المنصورة الشرقى</t>
  </si>
  <si>
    <t xml:space="preserve">مدخل ترعة السلام / بنزينه عزه الكاشف - أمام الحوراني / شرمساح - مدخل الغنيمة</t>
  </si>
  <si>
    <t xml:space="preserve">الدقهلية</t>
  </si>
  <si>
    <t xml:space="preserve">قرية الخياريه - بداوي</t>
  </si>
  <si>
    <t xml:space="preserve">المنصورة - المطرية</t>
  </si>
  <si>
    <t xml:space="preserve">شها - كفر علام</t>
  </si>
  <si>
    <t xml:space="preserve">الحسينية - المنزلة - بورسعيد</t>
  </si>
  <si>
    <t xml:space="preserve">كمين الإسكندرية الجديد - المنطقة الصناعية بالعصافره - مسجد إبن السلام - الطريق الجديد</t>
  </si>
  <si>
    <t xml:space="preserve">كفر صقر - السنبلاوين</t>
  </si>
  <si>
    <t xml:space="preserve">برقين - مدخل البلد</t>
  </si>
  <si>
    <t xml:space="preserve">ديرب نجم - سندوب - المنصورة</t>
  </si>
  <si>
    <t xml:space="preserve">شاوه</t>
  </si>
  <si>
    <t xml:space="preserve">الصالحية - فاقوس</t>
  </si>
  <si>
    <t xml:space="preserve">مفارق أبو كراسيع - مدخل الحج عمر</t>
  </si>
  <si>
    <t xml:space="preserve">الزقازيق - أولاد صقر</t>
  </si>
  <si>
    <t xml:space="preserve">أمام أبو الشقوق - أمام كوبري الميزانية - مدخل كفر صقر</t>
  </si>
  <si>
    <t xml:space="preserve">الزقازيق - ميت غمر</t>
  </si>
  <si>
    <t xml:space="preserve">أم الزين - مدخل منيا القمح - الأشراف</t>
  </si>
  <si>
    <t xml:space="preserve">أمام مصنع الصوفي</t>
  </si>
  <si>
    <t xml:space="preserve">الزقازيق - ديرب نجم - السنبلاوين</t>
  </si>
  <si>
    <t xml:space="preserve">أمام اكوة - أمام القنايات</t>
  </si>
  <si>
    <t xml:space="preserve">الزقازيق - الحسنة - بحر البقر - الملاحة - بورسعيد</t>
  </si>
  <si>
    <t xml:space="preserve">الملاحة - مدخل صان الحجر</t>
  </si>
  <si>
    <t xml:space="preserve">جنيفة</t>
  </si>
  <si>
    <t xml:space="preserve">مدخل كوبري جنيفة - أمام المركز الطبي العالمي</t>
  </si>
  <si>
    <t xml:space="preserve">مخــرج طريــق جنيفــة - نهايــة الطريــق القــديم إتجــاه السويــس - قبل بورتــو - طريــق السخنــة إتجــاه السـويــس ب 2 كيلو</t>
  </si>
  <si>
    <t xml:space="preserve">شبرا - بنها</t>
  </si>
  <si>
    <t xml:space="preserve">تقاطع الطريق مع الإقليمي نزلة بنها  - قبل نزلة الزقازيق بحوالي 5 كم - قبل البوابات بين شبرا و بوابة الرسوم</t>
  </si>
  <si>
    <t xml:space="preserve">بنها - الزقازيق الزراعى</t>
  </si>
  <si>
    <t xml:space="preserve">أمام كمين شبلنجة - مفارق الزقازيق</t>
  </si>
  <si>
    <t xml:space="preserve">الزنكلون / أمام العزيزية - مدخل منيا القمح</t>
  </si>
  <si>
    <t xml:space="preserve">بنها - المنصورة الزراعى</t>
  </si>
  <si>
    <t xml:space="preserve">مطلع الاقليمى  - أمام كوبري أسنيت - أمام مظلوم للسيراميك</t>
  </si>
  <si>
    <t xml:space="preserve">كفر عوض - كوبري أبو نبهان - كفر النعيم</t>
  </si>
  <si>
    <t xml:space="preserve">طريق 36 الحربى</t>
  </si>
  <si>
    <t xml:space="preserve">مفارق المستقبل - مفارق نصار - مفارق العنب</t>
  </si>
  <si>
    <t xml:space="preserve">مفارق أبو نصار - أمام مدخل الصالحية - قبل صينية القصاصين</t>
  </si>
  <si>
    <t xml:space="preserve">الغربية - المنصورة - دمياط الغربى</t>
  </si>
  <si>
    <t xml:space="preserve">كارفور - الخيال / مفارق صفط تراب / أمام مصنع القاضي - أمام الراهبين - محلة خلف</t>
  </si>
  <si>
    <t xml:space="preserve">بطره / كوبري شرنقاش - كمين رأس الخليج - قرية السعدية</t>
  </si>
  <si>
    <t xml:space="preserve">أمام قرية الاسماعيلية - أمام سعد البلد / أسفل كوبري فارسكور - كمين السلام</t>
  </si>
  <si>
    <t xml:space="preserve">طنطا - كفر الشيخ - بلطيم ( الرافد الدولى)</t>
  </si>
  <si>
    <t xml:space="preserve">الأمن المركزي - نزله قطور من الدولي</t>
  </si>
  <si>
    <t xml:space="preserve">فيلا يونس عبد الرازق - كوبري 83 - مدخل الحصفة - كوبري كلش - مدخل أبو ريا</t>
  </si>
  <si>
    <t xml:space="preserve">المحلة - كفرالشيخ</t>
  </si>
  <si>
    <t xml:space="preserve">نزلة المعتمدية و الجبرية</t>
  </si>
  <si>
    <t xml:space="preserve">مدخل أبو عمر - وحتي الكوبري الأزرق  - كوبري متبول</t>
  </si>
  <si>
    <t xml:space="preserve">وادى النطرون - العلمين</t>
  </si>
  <si>
    <t xml:space="preserve">ك 4 عند قرية سند - ك 15 أبناء الغربية - ك 25 دير موسي الأسود - ك 35 - ك 55 - ك 65 - ك 70 مدخل طريق جبل حامد</t>
  </si>
  <si>
    <t xml:space="preserve">محور الضبعة</t>
  </si>
  <si>
    <t xml:space="preserve">محور روض الفرج</t>
  </si>
  <si>
    <t xml:space="preserve">ك 1 مدخل الإقليمي - ك 20 مدخل السعودية - ك 92 بتروشهد - ك 60 - ك 100 أوراسكوم - ك 130 - ك 46 مدخل ليبيا</t>
  </si>
  <si>
    <t xml:space="preserve">طريق الواحات</t>
  </si>
  <si>
    <t xml:space="preserve">الطريق بأكمله - وصله أبو غالب</t>
  </si>
  <si>
    <t xml:space="preserve">طريق المريوطية</t>
  </si>
  <si>
    <t xml:space="preserve">الطريق ما بعد وحده برنشت</t>
  </si>
  <si>
    <t xml:space="preserve">محور الفريق كمال عامر</t>
  </si>
  <si>
    <t xml:space="preserve">بداية من شارع الهرم وحتي شارع جامعة الدول</t>
  </si>
  <si>
    <t xml:space="preserve">الكيلو 21 حلوان - الكريمات</t>
  </si>
  <si>
    <t xml:space="preserve">من الأخصاص إلي الكداية</t>
  </si>
  <si>
    <t xml:space="preserve">محور 26 يوليو</t>
  </si>
  <si>
    <t xml:space="preserve">الطريق بأكمله</t>
  </si>
  <si>
    <t xml:space="preserve">المناشي - الخطاطبة</t>
  </si>
  <si>
    <t xml:space="preserve">الفيوم - بنى سويف الزراعى</t>
  </si>
  <si>
    <t xml:space="preserve">أمام دير العزب - أسفل كوبري أسيوط - أمام قرية دمشقين هواره</t>
  </si>
  <si>
    <t xml:space="preserve">الطريق السياحى بالفيوم</t>
  </si>
  <si>
    <t xml:space="preserve">ملف جزيزة البط ـ مفارق اللؤلؤة ـ مدخل الجيلاني مركز أبشواي ـ أمام قرية الصبيحي ـ بوابة وادي الريان</t>
  </si>
  <si>
    <t xml:space="preserve">الفيوم - بني سويف الجديد</t>
  </si>
  <si>
    <t xml:space="preserve">مدخل طريق أسيوط قبل المساكن</t>
  </si>
  <si>
    <t xml:space="preserve">الصحراوى الشرقى القديم</t>
  </si>
  <si>
    <t xml:space="preserve">مدخل دير العذراء / بحري بني حسن - محور سمالوط - محور البرشا</t>
  </si>
  <si>
    <t xml:space="preserve">مدخل حوطة - بحري النقب</t>
  </si>
  <si>
    <t xml:space="preserve">أسيوط - الغنايم</t>
  </si>
  <si>
    <t xml:space="preserve">مدخل المشايعه - مدخل دير ريفا - كافيتيريا عرب أسيوط</t>
  </si>
  <si>
    <t xml:space="preserve">أسيوط - أسوان الزراعي الشرقي</t>
  </si>
  <si>
    <t xml:space="preserve">كوبري الجمصة</t>
  </si>
  <si>
    <t xml:space="preserve">كوبري المخزن - كوبري العبودي - مدخل الشيخ عيسي</t>
  </si>
  <si>
    <t xml:space="preserve">سوهاج - سفاجا</t>
  </si>
  <si>
    <t xml:space="preserve">الكيلو 100</t>
  </si>
  <si>
    <t xml:space="preserve">قنا - سفاجا</t>
  </si>
  <si>
    <t xml:space="preserve">ك 45 - ك 61 - ك 19 - مصنع أسمنت النهضة</t>
  </si>
  <si>
    <t xml:space="preserve">قفط - القصير</t>
  </si>
  <si>
    <t xml:space="preserve">نقط متعددة بالطريق عبارة عن تهالك بالطريق</t>
  </si>
  <si>
    <t xml:space="preserve">أبو سمبل السياحي الدولي</t>
  </si>
  <si>
    <t xml:space="preserve">الكيلو 55 - الكيلو 140- مدخل توشكا</t>
  </si>
  <si>
    <t xml:space="preserve">البحر الأحمر الساحلي الشرقي</t>
  </si>
  <si>
    <t xml:space="preserve">البحر الأحمر</t>
  </si>
  <si>
    <t xml:space="preserve">عند دير الأنبا بولا</t>
  </si>
  <si>
    <t xml:space="preserve">ديروط - الفرافرة</t>
  </si>
  <si>
    <t xml:space="preserve">الكيلو 70 من الفرافرة - الكيلو 190 من الفرافرة</t>
  </si>
  <si>
    <t xml:space="preserve">الفرافرة - عين دلة</t>
  </si>
  <si>
    <t xml:space="preserve">ك 70 من الفرافرة</t>
  </si>
  <si>
    <t xml:space="preserve">الداخلة - بئر طرفاوى - ش. العوينات</t>
  </si>
  <si>
    <t xml:space="preserve">ك 25 من الدخلة ـ ك 120 من الدخلة - ك 200 من الدخلة ـ ك 290 من الدخلة</t>
  </si>
  <si>
    <t xml:space="preserve">الخارجة - أسيوط</t>
  </si>
  <si>
    <t xml:space="preserve">أمام شركة الأسمنت</t>
  </si>
  <si>
    <t xml:space="preserve">ك 20 من الخارجة ـ ك 75 من الخارجة ـ ك 130 من الخارجة</t>
  </si>
  <si>
    <t xml:space="preserve">الخارجة - باريس</t>
  </si>
  <si>
    <t xml:space="preserve">ك 10 من الخارجة ـ ك 25 من الخارجة ـ ك 50 من الخارجة ـ ك 80 من الخارجة</t>
  </si>
  <si>
    <t xml:space="preserve">باريس - قرى الشب - شرق العوينات</t>
  </si>
  <si>
    <t xml:space="preserve">ك 15 إتجاه باريس ـ ك 120 إتجاه باريس ـ ك 290 إتجاه باريس</t>
  </si>
  <si>
    <t xml:space="preserve">الأقصر - بغداد</t>
  </si>
  <si>
    <t xml:space="preserve">ك 15 من بغداد ـ ك 160 من بغداد ـ ك 190 من بغداد</t>
  </si>
  <si>
    <t xml:space="preserve">الخارجة - الداخلة</t>
  </si>
  <si>
    <t xml:space="preserve">ك  40 من الخارجة ـ ك 100 من الخارجة ـ ك 145 من الخارجة ـ ك 190 من الخارجة</t>
  </si>
  <si>
    <t xml:space="preserve">الداخلة - الفرافرة</t>
  </si>
  <si>
    <t xml:space="preserve">ك 10 من الداخلة ـ ك 35 من الدخلة ـ ك 65 من الدخلة ـ ك 180 من الدخلة ـ ك 230 من الدخلة</t>
  </si>
  <si>
    <t xml:space="preserve">الواحات البحرية - الفرافرة</t>
  </si>
  <si>
    <t xml:space="preserve">ك 35 من الفرافرة</t>
  </si>
  <si>
    <t xml:space="preserve">الاسماعيلية - منفذ العوجة</t>
  </si>
  <si>
    <t xml:space="preserve">منطقه الحمة - الطريق الجديدة - خلف مصنع الأسمنت - منطقة مجمع الصناعات</t>
  </si>
  <si>
    <t xml:space="preserve">السويس - الوسط - طابا</t>
  </si>
  <si>
    <t xml:space="preserve">بين التمد والنقب</t>
  </si>
  <si>
    <t xml:space="preserve">شرق النفق - شرم الشيخ القديم</t>
  </si>
  <si>
    <t xml:space="preserve">مدخل أبو صويرة - ملفات أبو زنيمة</t>
  </si>
  <si>
    <t xml:space="preserve">شرم الشيخ الدولى الجديد</t>
  </si>
  <si>
    <t xml:space="preserve">أمـام مصنــع الجبــس - حمـام فرعـون - بعـد كارتـة الساحــل - 10 كيـلو إتجـاه النفـق - بعـد كارتـة المفــارق ب 15 كيلو - إتجاه الطور</t>
  </si>
  <si>
    <t xml:space="preserve">الطور - كاترين</t>
  </si>
  <si>
    <t xml:space="preserve">بعد المفارق ب 10 كيلو - كمين الجيش - عرب الحسوة</t>
  </si>
  <si>
    <t xml:space="preserve">شرم الشيخ - نوبيع - طابا</t>
  </si>
  <si>
    <t xml:space="preserve">مدخل الرويسات / مطلع ونازلة الصاعدة - بين خريزة والدائري - كمين مدسوس</t>
  </si>
  <si>
    <t xml:space="preserve">كاترين - نوبيع</t>
  </si>
  <si>
    <t xml:space="preserve">طريق المطار - بعد كمين سعال بحوالي 15 كم - إتجاه التحرير</t>
  </si>
  <si>
    <t xml:space="preserve">الدائرى الأوسطى</t>
  </si>
  <si>
    <t xml:space="preserve">بداية ونهاية منحدر مرورا بنفق الأوتوستراد / مدخل بن زايد الجنوبي - مدخل الكيان العسكر - تقاطع الأوسطي مع الأوتوستراد / مدخل شق الثعبان</t>
  </si>
  <si>
    <t xml:space="preserve">أمام مدينة العبور الجديدة</t>
  </si>
  <si>
    <t xml:space="preserve">أمام المركز الطبي العالمي</t>
  </si>
  <si>
    <t xml:space="preserve">الدولى الساحلى</t>
  </si>
  <si>
    <t xml:space="preserve">تقاطع ريم البوادي - بالوظة - محطة مياه التلول -  منحني مزار / منحني أبو عاصي - قبر عمير</t>
  </si>
  <si>
    <t xml:space="preserve">أمام شركة الكهرباء - عزبة 6</t>
  </si>
  <si>
    <t xml:space="preserve">الكسارة</t>
  </si>
  <si>
    <t xml:space="preserve">مدخل مارينا دلتا - مدخل شاطئ الأمل - محطة وطنية برج البرلس - مدخل بركة غليون - كوبــرى    زكريا - أمام محطة كهرباء البرلس</t>
  </si>
  <si>
    <t xml:space="preserve">كوبرى 45 مدخل اسكندرية - كوبرى الطرفاية إدكو</t>
  </si>
  <si>
    <t xml:space="preserve">بشاير الخير - مجمع شركات وادي القمر- كارفور العروبة - مدخل البرج القديم</t>
  </si>
  <si>
    <t xml:space="preserve">مزلقان فوكة - ملف بق بق</t>
  </si>
  <si>
    <t xml:space="preserve">الدائرى الإقليمى</t>
  </si>
  <si>
    <t xml:space="preserve">منطقة بين الجبلاين - والنفق الغير الممهد - طريق المحاجر</t>
  </si>
  <si>
    <t xml:space="preserve">مطلع  الاقليمى إتجاه القاهرة / تقاطع الإقليمي مع نزلة المنوفية في الإتجاهين - تقاطع الإقليمي مع طريق شبرا - بنها - نزلة الإقليمي - إتجاه الأسكندرية</t>
  </si>
  <si>
    <t xml:space="preserve">أمام وطنية القارون إتجاه نزلة الواحات - إتجاه بوابة العياط والصف</t>
  </si>
  <si>
    <t xml:space="preserve">نزلة غيتة - قبل كارتة بلبيس - إتجاه العاشر - قبل كارتة بلبيس - إتجاه الصنافين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</si>
</sst>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6B3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F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1F6B3A"/>
        <bgColor rgb="FF1F4E79"/>
      </patternFill>
    </fill>
    <fill>
      <patternFill patternType="solid">
        <fgColor rgb="FFC6EFCE"/>
        <bgColor rgb="FFCCFFFF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99CC00"/>
      </patternFill>
    </fill>
    <fill>
      <patternFill patternType="solid">
        <fgColor rgb="FF7F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1F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  <c r="G4" s="3" t="s">
        <v>7</v>
      </c>
    </row>
    <row r="5" customFormat="false" ht="15" hidden="false" customHeight="false" outlineLevel="0" collapsed="false">
      <c r="A5" s="4" t="n">
        <v>2024</v>
      </c>
      <c r="B5" s="4" t="n">
        <v>5260</v>
      </c>
      <c r="C5" s="4" t="n">
        <f aca="false">(B5-B6)/B6*100</f>
        <v>-10.2542228288688</v>
      </c>
      <c r="D5" s="4" t="n">
        <v>76362</v>
      </c>
      <c r="E5" s="4" t="n">
        <f aca="false">D5/D6-1</f>
        <v>0.0752788104089219</v>
      </c>
      <c r="F5" s="4" t="n">
        <v>6.89</v>
      </c>
      <c r="G5" s="4" t="n">
        <v>4.94</v>
      </c>
    </row>
    <row r="6" customFormat="false" ht="15" hidden="false" customHeight="false" outlineLevel="0" collapsed="false">
      <c r="A6" s="4" t="n">
        <v>2023</v>
      </c>
      <c r="B6" s="4" t="n">
        <v>5861</v>
      </c>
      <c r="C6" s="4" t="n">
        <f aca="false">(B6-B7)/B7*100</f>
        <v>-24.491110538521</v>
      </c>
      <c r="D6" s="4" t="n">
        <v>71016</v>
      </c>
      <c r="E6" s="4" t="n">
        <f aca="false">D6/D7-1</f>
        <v>0.268346698576557</v>
      </c>
      <c r="F6" s="4" t="n">
        <v>8.25</v>
      </c>
      <c r="G6" s="4" t="n">
        <v>5.57</v>
      </c>
    </row>
    <row r="7" customFormat="false" ht="15" hidden="false" customHeight="false" outlineLevel="0" collapsed="false">
      <c r="A7" s="4" t="n">
        <v>2022</v>
      </c>
      <c r="B7" s="4" t="n">
        <v>7762</v>
      </c>
      <c r="C7" s="4" t="n">
        <f aca="false">(B7-B8)/B8*100</f>
        <v>5.95140595140595</v>
      </c>
      <c r="D7" s="4" t="n">
        <v>55991</v>
      </c>
      <c r="E7" s="4" t="n">
        <f aca="false">D7/D8-1</f>
        <v>0.0869717147793676</v>
      </c>
      <c r="F7" s="4" t="n">
        <v>13.86</v>
      </c>
      <c r="G7" s="4" t="n">
        <v>7.49</v>
      </c>
    </row>
    <row r="8" customFormat="false" ht="15" hidden="false" customHeight="false" outlineLevel="0" collapsed="false">
      <c r="A8" s="4" t="n">
        <v>2021</v>
      </c>
      <c r="B8" s="4" t="n">
        <v>7326</v>
      </c>
      <c r="C8" s="4" t="n">
        <f aca="false">(B8-B9)/B9*100</f>
        <v>18.5820653933312</v>
      </c>
      <c r="D8" s="4" t="n">
        <v>51511</v>
      </c>
      <c r="E8" s="4" t="n">
        <f aca="false">D8/D9-1</f>
        <v>-0.0929405342583951</v>
      </c>
      <c r="F8" s="4" t="n">
        <v>14.22</v>
      </c>
      <c r="G8" s="4" t="n">
        <v>7.18</v>
      </c>
    </row>
    <row r="9" customFormat="false" ht="15" hidden="false" customHeight="false" outlineLevel="0" collapsed="false">
      <c r="A9" s="4" t="n">
        <v>2020</v>
      </c>
      <c r="B9" s="4" t="n">
        <v>6178</v>
      </c>
      <c r="C9" s="4" t="s">
        <v>8</v>
      </c>
      <c r="D9" s="4" t="n">
        <v>56789</v>
      </c>
      <c r="E9" s="4" t="s">
        <v>8</v>
      </c>
      <c r="F9" s="4" t="n">
        <v>10.88</v>
      </c>
      <c r="G9" s="4" t="n">
        <v>6.14</v>
      </c>
    </row>
    <row r="11" customFormat="false" ht="15" hidden="false" customHeight="false" outlineLevel="0" collapsed="false">
      <c r="A11" s="5" t="s">
        <v>9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6" t="s">
        <v>2</v>
      </c>
      <c r="B12" s="6" t="s">
        <v>10</v>
      </c>
      <c r="C12" s="6" t="s">
        <v>3</v>
      </c>
      <c r="D12" s="6" t="s">
        <v>5</v>
      </c>
      <c r="E12" s="6" t="s">
        <v>6</v>
      </c>
      <c r="F12" s="6" t="s">
        <v>11</v>
      </c>
      <c r="G12" s="6" t="s">
        <v>12</v>
      </c>
    </row>
    <row r="13" customFormat="false" ht="15" hidden="false" customHeight="false" outlineLevel="0" collapsed="false">
      <c r="A13" s="4" t="n">
        <v>2024</v>
      </c>
      <c r="B13" s="4" t="n">
        <v>220</v>
      </c>
      <c r="C13" s="4" t="n">
        <v>57</v>
      </c>
      <c r="D13" s="4" t="n">
        <v>104</v>
      </c>
      <c r="E13" s="4" t="n">
        <v>54.81</v>
      </c>
      <c r="F13" s="4" t="n">
        <v>0.8696</v>
      </c>
      <c r="G13" s="4" t="n">
        <v>0.0053</v>
      </c>
    </row>
    <row r="14" customFormat="false" ht="15" hidden="false" customHeight="false" outlineLevel="0" collapsed="false">
      <c r="A14" s="4" t="n">
        <v>2023</v>
      </c>
      <c r="B14" s="4" t="n">
        <v>181</v>
      </c>
      <c r="C14" s="4" t="n">
        <v>53</v>
      </c>
      <c r="D14" s="4" t="n">
        <v>51</v>
      </c>
      <c r="E14" s="4" t="n">
        <v>103.92</v>
      </c>
      <c r="F14" s="4" t="n">
        <v>0.7208</v>
      </c>
      <c r="G14" s="4" t="n">
        <v>0.005</v>
      </c>
    </row>
    <row r="15" customFormat="false" ht="15" hidden="false" customHeight="false" outlineLevel="0" collapsed="false">
      <c r="A15" s="4" t="n">
        <v>2022</v>
      </c>
      <c r="B15" s="4" t="n">
        <v>831</v>
      </c>
      <c r="C15" s="4" t="n">
        <v>407</v>
      </c>
      <c r="D15" s="4" t="n">
        <v>338</v>
      </c>
      <c r="E15" s="4" t="n">
        <v>120.41</v>
      </c>
      <c r="F15" s="4" t="n">
        <v>2.1346</v>
      </c>
      <c r="G15" s="4" t="n">
        <v>0.0393</v>
      </c>
    </row>
    <row r="16" customFormat="false" ht="15" hidden="false" customHeight="false" outlineLevel="0" collapsed="false">
      <c r="A16" s="4" t="n">
        <v>2021</v>
      </c>
      <c r="B16" s="4" t="n">
        <v>738</v>
      </c>
      <c r="C16" s="4" t="n">
        <v>399</v>
      </c>
      <c r="D16" s="4" t="n">
        <v>531</v>
      </c>
      <c r="E16" s="4" t="n">
        <v>75.14</v>
      </c>
      <c r="F16" s="4" t="n">
        <v>2.9089</v>
      </c>
      <c r="G16" s="4" t="n">
        <v>0.0391</v>
      </c>
    </row>
    <row r="17" customFormat="false" ht="15" hidden="false" customHeight="false" outlineLevel="0" collapsed="false">
      <c r="A17" s="4" t="n">
        <v>2020</v>
      </c>
      <c r="B17" s="4" t="n">
        <v>655</v>
      </c>
      <c r="C17" s="4" t="n">
        <v>289</v>
      </c>
      <c r="D17" s="4" t="n">
        <v>285</v>
      </c>
      <c r="E17" s="4" t="n">
        <v>101.4</v>
      </c>
      <c r="F17" s="4" t="n">
        <v>2.9773</v>
      </c>
      <c r="G17" s="4" t="n">
        <v>0.0287</v>
      </c>
    </row>
  </sheetData>
  <mergeCells count="3">
    <mergeCell ref="A1:N1"/>
    <mergeCell ref="A3:G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12"/>
  </cols>
  <sheetData>
    <row r="1" customFormat="false" ht="30" hidden="false" customHeight="true" outlineLevel="0" collapsed="false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customFormat="false" ht="12.65" hidden="false" customHeight="false" outlineLevel="0" collapsed="false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customFormat="false" ht="15" hidden="false" customHeight="false" outlineLevel="0" collapsed="false">
      <c r="A4" s="3" t="s">
        <v>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</row>
    <row r="5" customFormat="false" ht="15" hidden="false" customHeight="false" outlineLevel="0" collapsed="false">
      <c r="A5" s="4" t="n">
        <v>2024</v>
      </c>
      <c r="B5" s="4" t="n">
        <v>5989</v>
      </c>
      <c r="C5" s="4" t="n">
        <v>5241</v>
      </c>
      <c r="D5" s="4" t="n">
        <v>6478</v>
      </c>
      <c r="E5" s="4" t="n">
        <v>6724</v>
      </c>
      <c r="F5" s="4" t="n">
        <v>6097</v>
      </c>
      <c r="G5" s="4" t="n">
        <v>6063</v>
      </c>
      <c r="H5" s="4" t="n">
        <v>6392</v>
      </c>
      <c r="I5" s="4" t="n">
        <v>6856</v>
      </c>
      <c r="J5" s="4" t="n">
        <v>6722</v>
      </c>
      <c r="K5" s="4" t="n">
        <v>7155</v>
      </c>
      <c r="L5" s="4" t="n">
        <v>6245</v>
      </c>
      <c r="M5" s="4" t="n">
        <v>6400</v>
      </c>
      <c r="N5" s="4" t="n">
        <f aca="false">SUM(B5:M5)</f>
        <v>76362</v>
      </c>
    </row>
    <row r="6" customFormat="false" ht="15" hidden="false" customHeight="false" outlineLevel="0" collapsed="false">
      <c r="A6" s="4" t="n">
        <v>2023</v>
      </c>
      <c r="B6" s="4" t="n">
        <v>5396</v>
      </c>
      <c r="C6" s="4" t="n">
        <v>4690</v>
      </c>
      <c r="D6" s="4" t="n">
        <v>5798</v>
      </c>
      <c r="E6" s="4" t="n">
        <v>6163</v>
      </c>
      <c r="F6" s="4" t="n">
        <v>6054</v>
      </c>
      <c r="G6" s="4" t="n">
        <v>6001</v>
      </c>
      <c r="H6" s="4" t="n">
        <v>6103</v>
      </c>
      <c r="I6" s="4" t="n">
        <v>6089</v>
      </c>
      <c r="J6" s="4" t="n">
        <v>6201</v>
      </c>
      <c r="K6" s="4" t="n">
        <v>6723</v>
      </c>
      <c r="L6" s="4" t="n">
        <v>6156</v>
      </c>
      <c r="M6" s="4" t="n">
        <v>5642</v>
      </c>
      <c r="N6" s="4" t="n">
        <f aca="false">SUM(B6:M6)</f>
        <v>71016</v>
      </c>
    </row>
    <row r="7" customFormat="false" ht="15" hidden="false" customHeight="false" outlineLevel="0" collapsed="false">
      <c r="A7" s="4" t="n">
        <v>2022</v>
      </c>
      <c r="B7" s="4" t="n">
        <v>3097</v>
      </c>
      <c r="C7" s="4" t="n">
        <v>2771</v>
      </c>
      <c r="D7" s="4" t="n">
        <v>3981</v>
      </c>
      <c r="E7" s="4" t="n">
        <v>4717</v>
      </c>
      <c r="F7" s="4" t="n">
        <v>5291</v>
      </c>
      <c r="G7" s="4" t="n">
        <v>4987</v>
      </c>
      <c r="H7" s="4" t="n">
        <v>4949</v>
      </c>
      <c r="I7" s="4" t="n">
        <v>5144</v>
      </c>
      <c r="J7" s="4" t="n">
        <v>5285</v>
      </c>
      <c r="K7" s="4" t="n">
        <v>5686</v>
      </c>
      <c r="L7" s="4" t="n">
        <v>5021</v>
      </c>
      <c r="M7" s="4" t="n">
        <v>5062</v>
      </c>
      <c r="N7" s="4" t="n">
        <f aca="false">SUM(B7:M7)</f>
        <v>55991</v>
      </c>
    </row>
    <row r="8" customFormat="false" ht="15" hidden="false" customHeight="false" outlineLevel="0" collapsed="false">
      <c r="A8" s="4" t="n">
        <v>2021</v>
      </c>
      <c r="B8" s="4" t="n">
        <v>4207</v>
      </c>
      <c r="C8" s="4" t="n">
        <v>4000</v>
      </c>
      <c r="D8" s="4" t="n">
        <v>4431</v>
      </c>
      <c r="E8" s="4" t="n">
        <v>4395</v>
      </c>
      <c r="F8" s="4" t="n">
        <v>4249</v>
      </c>
      <c r="G8" s="4" t="n">
        <v>4157</v>
      </c>
      <c r="H8" s="4" t="n">
        <v>4918</v>
      </c>
      <c r="I8" s="4" t="n">
        <v>4569</v>
      </c>
      <c r="J8" s="4" t="n">
        <v>4811</v>
      </c>
      <c r="K8" s="4" t="n">
        <v>4177</v>
      </c>
      <c r="L8" s="4" t="n">
        <v>3887</v>
      </c>
      <c r="M8" s="4" t="n">
        <v>3710</v>
      </c>
      <c r="N8" s="4" t="n">
        <f aca="false">SUM(B8:M8)</f>
        <v>51511</v>
      </c>
    </row>
    <row r="9" customFormat="false" ht="15" hidden="false" customHeight="false" outlineLevel="0" collapsed="false">
      <c r="A9" s="4" t="n">
        <v>2020</v>
      </c>
      <c r="B9" s="4" t="n">
        <v>6495</v>
      </c>
      <c r="C9" s="4" t="n">
        <v>5806</v>
      </c>
      <c r="D9" s="4" t="n">
        <v>4388</v>
      </c>
      <c r="E9" s="4" t="n">
        <v>3813</v>
      </c>
      <c r="F9" s="4" t="n">
        <v>3736</v>
      </c>
      <c r="G9" s="4" t="n">
        <v>3282</v>
      </c>
      <c r="H9" s="4" t="n">
        <v>3738</v>
      </c>
      <c r="I9" s="4" t="n">
        <v>4859</v>
      </c>
      <c r="J9" s="4" t="n">
        <v>4827</v>
      </c>
      <c r="K9" s="4" t="n">
        <v>5329</v>
      </c>
      <c r="L9" s="4" t="n">
        <v>5461</v>
      </c>
      <c r="M9" s="4" t="n">
        <v>5055</v>
      </c>
      <c r="N9" s="4" t="n">
        <f aca="false">SUM(B9:M9)</f>
        <v>56789</v>
      </c>
    </row>
    <row r="11" customFormat="false" ht="12.65" hidden="false" customHeight="false" outlineLevel="0" collapsed="false">
      <c r="A11" s="9" t="s">
        <v>28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A12" s="10" t="s">
        <v>2</v>
      </c>
      <c r="B12" s="10" t="s">
        <v>15</v>
      </c>
      <c r="C12" s="10" t="s">
        <v>16</v>
      </c>
      <c r="D12" s="10" t="s">
        <v>17</v>
      </c>
      <c r="E12" s="10" t="s">
        <v>18</v>
      </c>
      <c r="F12" s="10" t="s">
        <v>19</v>
      </c>
      <c r="G12" s="10" t="s">
        <v>20</v>
      </c>
      <c r="H12" s="10" t="s">
        <v>21</v>
      </c>
      <c r="I12" s="10" t="s">
        <v>22</v>
      </c>
      <c r="J12" s="10" t="s">
        <v>23</v>
      </c>
      <c r="K12" s="10" t="s">
        <v>24</v>
      </c>
      <c r="L12" s="10" t="s">
        <v>25</v>
      </c>
      <c r="M12" s="10" t="s">
        <v>26</v>
      </c>
      <c r="N12" s="10" t="s">
        <v>27</v>
      </c>
    </row>
    <row r="13" customFormat="false" ht="15" hidden="false" customHeight="false" outlineLevel="0" collapsed="false">
      <c r="A13" s="4" t="n">
        <v>2024</v>
      </c>
      <c r="B13" s="4" t="n">
        <v>407</v>
      </c>
      <c r="C13" s="4" t="n">
        <v>394</v>
      </c>
      <c r="D13" s="4" t="n">
        <v>491</v>
      </c>
      <c r="E13" s="4" t="n">
        <v>527</v>
      </c>
      <c r="F13" s="4" t="n">
        <v>410</v>
      </c>
      <c r="G13" s="4" t="n">
        <v>471</v>
      </c>
      <c r="H13" s="4" t="n">
        <v>442</v>
      </c>
      <c r="I13" s="4" t="n">
        <v>444</v>
      </c>
      <c r="J13" s="4" t="n">
        <v>420</v>
      </c>
      <c r="K13" s="4" t="n">
        <v>439</v>
      </c>
      <c r="L13" s="4" t="n">
        <v>384</v>
      </c>
      <c r="M13" s="4" t="n">
        <v>431</v>
      </c>
      <c r="N13" s="4" t="n">
        <f aca="false">SUM(B13:M13)</f>
        <v>5260</v>
      </c>
    </row>
    <row r="14" customFormat="false" ht="15" hidden="false" customHeight="false" outlineLevel="0" collapsed="false">
      <c r="A14" s="4" t="n">
        <v>2023</v>
      </c>
      <c r="B14" s="4" t="n">
        <v>540</v>
      </c>
      <c r="C14" s="4" t="n">
        <v>503</v>
      </c>
      <c r="D14" s="4" t="n">
        <v>465</v>
      </c>
      <c r="E14" s="4" t="n">
        <v>540</v>
      </c>
      <c r="F14" s="4" t="n">
        <v>476</v>
      </c>
      <c r="G14" s="4" t="n">
        <v>469</v>
      </c>
      <c r="H14" s="4" t="n">
        <v>519</v>
      </c>
      <c r="I14" s="4" t="n">
        <v>522</v>
      </c>
      <c r="J14" s="4" t="n">
        <v>478</v>
      </c>
      <c r="K14" s="4" t="n">
        <v>482</v>
      </c>
      <c r="L14" s="4" t="n">
        <v>436</v>
      </c>
      <c r="M14" s="4" t="n">
        <v>431</v>
      </c>
      <c r="N14" s="4" t="n">
        <f aca="false">SUM(B14:M14)</f>
        <v>5861</v>
      </c>
    </row>
    <row r="15" customFormat="false" ht="15" hidden="false" customHeight="false" outlineLevel="0" collapsed="false">
      <c r="A15" s="4" t="n">
        <v>2022</v>
      </c>
      <c r="B15" s="4" t="n">
        <v>571</v>
      </c>
      <c r="C15" s="4" t="n">
        <v>466</v>
      </c>
      <c r="D15" s="4" t="n">
        <v>596</v>
      </c>
      <c r="E15" s="4" t="n">
        <v>721</v>
      </c>
      <c r="F15" s="4" t="n">
        <v>675</v>
      </c>
      <c r="G15" s="4" t="n">
        <v>638</v>
      </c>
      <c r="H15" s="4" t="n">
        <v>738</v>
      </c>
      <c r="I15" s="4" t="n">
        <v>763</v>
      </c>
      <c r="J15" s="4" t="n">
        <v>676</v>
      </c>
      <c r="K15" s="4" t="n">
        <v>715</v>
      </c>
      <c r="L15" s="4" t="n">
        <v>613</v>
      </c>
      <c r="M15" s="4" t="n">
        <v>590</v>
      </c>
      <c r="N15" s="4" t="n">
        <f aca="false">SUM(B15:M15)</f>
        <v>7762</v>
      </c>
    </row>
    <row r="16" customFormat="false" ht="15" hidden="false" customHeight="false" outlineLevel="0" collapsed="false">
      <c r="A16" s="4" t="n">
        <v>2021</v>
      </c>
      <c r="B16" s="4" t="n">
        <v>468</v>
      </c>
      <c r="C16" s="4" t="n">
        <v>485</v>
      </c>
      <c r="D16" s="4" t="n">
        <v>565</v>
      </c>
      <c r="E16" s="4" t="n">
        <v>613</v>
      </c>
      <c r="F16" s="4" t="n">
        <v>680</v>
      </c>
      <c r="G16" s="4" t="n">
        <v>626</v>
      </c>
      <c r="H16" s="4" t="n">
        <v>674</v>
      </c>
      <c r="I16" s="4" t="n">
        <v>668</v>
      </c>
      <c r="J16" s="4" t="n">
        <v>652</v>
      </c>
      <c r="K16" s="4" t="n">
        <v>629</v>
      </c>
      <c r="L16" s="4" t="n">
        <v>604</v>
      </c>
      <c r="M16" s="4" t="n">
        <v>662</v>
      </c>
      <c r="N16" s="4" t="n">
        <f aca="false">SUM(B16:M16)</f>
        <v>7326</v>
      </c>
    </row>
    <row r="17" customFormat="false" ht="15" hidden="false" customHeight="false" outlineLevel="0" collapsed="false">
      <c r="A17" s="4" t="n">
        <v>2020</v>
      </c>
      <c r="B17" s="4" t="n">
        <v>517</v>
      </c>
      <c r="C17" s="4" t="n">
        <v>536</v>
      </c>
      <c r="D17" s="4" t="n">
        <v>441</v>
      </c>
      <c r="E17" s="4" t="n">
        <v>410</v>
      </c>
      <c r="F17" s="4" t="n">
        <v>518</v>
      </c>
      <c r="G17" s="4" t="n">
        <v>497</v>
      </c>
      <c r="H17" s="4" t="n">
        <v>492</v>
      </c>
      <c r="I17" s="4" t="n">
        <v>637</v>
      </c>
      <c r="J17" s="4" t="n">
        <v>512</v>
      </c>
      <c r="K17" s="4" t="n">
        <v>516</v>
      </c>
      <c r="L17" s="4" t="n">
        <v>534</v>
      </c>
      <c r="M17" s="4" t="n">
        <v>568</v>
      </c>
      <c r="N17" s="4" t="n">
        <f aca="false">SUM(B17:M17)</f>
        <v>6178</v>
      </c>
    </row>
  </sheetData>
  <mergeCells count="3">
    <mergeCell ref="A1:N1"/>
    <mergeCell ref="A3:N3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8" min="3" style="0" width="16"/>
  </cols>
  <sheetData>
    <row r="1" customFormat="false" ht="15" hidden="false" customHeight="false" outlineLevel="0" collapsed="false">
      <c r="A1" s="7" t="s">
        <v>29</v>
      </c>
      <c r="B1" s="7"/>
      <c r="C1" s="7"/>
      <c r="D1" s="7"/>
      <c r="E1" s="7"/>
      <c r="F1" s="7"/>
      <c r="G1" s="7"/>
      <c r="H1" s="7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1" t="s">
        <v>37</v>
      </c>
    </row>
    <row r="4" customFormat="false" ht="15" hidden="false" customHeight="false" outlineLevel="0" collapsed="false">
      <c r="A4" s="12" t="s">
        <v>38</v>
      </c>
      <c r="B4" s="12"/>
      <c r="C4" s="12" t="n">
        <v>934</v>
      </c>
      <c r="D4" s="12" t="n">
        <v>60</v>
      </c>
      <c r="E4" s="12" t="n">
        <v>6.42</v>
      </c>
      <c r="F4" s="12" t="s">
        <v>8</v>
      </c>
      <c r="G4" s="12" t="s">
        <v>8</v>
      </c>
      <c r="H4" s="12" t="s">
        <v>8</v>
      </c>
    </row>
    <row r="5" customFormat="false" ht="15" hidden="false" customHeight="false" outlineLevel="0" collapsed="false">
      <c r="A5" s="4" t="s">
        <v>39</v>
      </c>
      <c r="B5" s="4"/>
      <c r="C5" s="4" t="n">
        <v>2980</v>
      </c>
      <c r="D5" s="4" t="n">
        <v>40</v>
      </c>
      <c r="E5" s="4" t="n">
        <v>1.34</v>
      </c>
      <c r="F5" s="4" t="s">
        <v>8</v>
      </c>
      <c r="G5" s="4" t="s">
        <v>8</v>
      </c>
      <c r="H5" s="4" t="s">
        <v>8</v>
      </c>
    </row>
    <row r="6" customFormat="false" ht="15" hidden="false" customHeight="false" outlineLevel="0" collapsed="false">
      <c r="A6" s="12" t="s">
        <v>40</v>
      </c>
      <c r="B6" s="12" t="s">
        <v>41</v>
      </c>
      <c r="C6" s="12" t="n">
        <v>39</v>
      </c>
      <c r="D6" s="12" t="n">
        <v>0</v>
      </c>
      <c r="E6" s="12" t="n">
        <v>0</v>
      </c>
      <c r="F6" s="12" t="n">
        <v>800691</v>
      </c>
      <c r="G6" s="12" t="n">
        <v>0</v>
      </c>
      <c r="H6" s="12" t="n">
        <v>4.87</v>
      </c>
    </row>
    <row r="7" customFormat="false" ht="15" hidden="false" customHeight="false" outlineLevel="0" collapsed="false">
      <c r="A7" s="4" t="s">
        <v>42</v>
      </c>
      <c r="B7" s="4"/>
      <c r="C7" s="4" t="n">
        <v>199</v>
      </c>
      <c r="D7" s="4" t="n">
        <v>25</v>
      </c>
      <c r="E7" s="4" t="n">
        <v>12.56</v>
      </c>
      <c r="F7" s="4" t="s">
        <v>8</v>
      </c>
      <c r="G7" s="4" t="s">
        <v>8</v>
      </c>
      <c r="H7" s="4" t="s">
        <v>8</v>
      </c>
    </row>
    <row r="8" customFormat="false" ht="15" hidden="false" customHeight="false" outlineLevel="0" collapsed="false">
      <c r="A8" s="12" t="s">
        <v>43</v>
      </c>
      <c r="B8" s="12" t="s">
        <v>44</v>
      </c>
      <c r="C8" s="12" t="n">
        <v>6606</v>
      </c>
      <c r="D8" s="12" t="n">
        <v>16</v>
      </c>
      <c r="E8" s="12" t="n">
        <v>0.24</v>
      </c>
      <c r="F8" s="12" t="n">
        <v>1632468</v>
      </c>
      <c r="G8" s="12" t="n">
        <v>0.98</v>
      </c>
      <c r="H8" s="12" t="n">
        <v>404.66</v>
      </c>
    </row>
    <row r="9" customFormat="false" ht="15" hidden="false" customHeight="false" outlineLevel="0" collapsed="false">
      <c r="A9" s="4" t="s">
        <v>45</v>
      </c>
      <c r="B9" s="4"/>
      <c r="C9" s="4" t="n">
        <v>15563</v>
      </c>
      <c r="D9" s="4" t="n">
        <v>29</v>
      </c>
      <c r="E9" s="4" t="n">
        <v>0.19</v>
      </c>
      <c r="F9" s="4" t="s">
        <v>8</v>
      </c>
      <c r="G9" s="4" t="s">
        <v>8</v>
      </c>
      <c r="H9" s="4" t="s">
        <v>8</v>
      </c>
    </row>
    <row r="10" customFormat="false" ht="15" hidden="false" customHeight="false" outlineLevel="0" collapsed="false">
      <c r="A10" s="12" t="s">
        <v>46</v>
      </c>
      <c r="B10" s="12"/>
      <c r="C10" s="12" t="n">
        <v>8964</v>
      </c>
      <c r="D10" s="12" t="n">
        <v>24</v>
      </c>
      <c r="E10" s="12" t="n">
        <v>0.27</v>
      </c>
      <c r="F10" s="12" t="s">
        <v>8</v>
      </c>
      <c r="G10" s="12" t="s">
        <v>8</v>
      </c>
      <c r="H10" s="12" t="s">
        <v>8</v>
      </c>
    </row>
    <row r="11" customFormat="false" ht="15" hidden="false" customHeight="false" outlineLevel="0" collapsed="false">
      <c r="A11" s="4" t="s">
        <v>47</v>
      </c>
      <c r="B11" s="4"/>
      <c r="C11" s="4" t="n">
        <v>541</v>
      </c>
      <c r="D11" s="4" t="n">
        <v>13</v>
      </c>
      <c r="E11" s="4" t="n">
        <v>2.4</v>
      </c>
      <c r="F11" s="4" t="s">
        <v>8</v>
      </c>
      <c r="G11" s="4" t="s">
        <v>8</v>
      </c>
      <c r="H11" s="4" t="s">
        <v>8</v>
      </c>
    </row>
    <row r="12" customFormat="false" ht="15" hidden="false" customHeight="false" outlineLevel="0" collapsed="false">
      <c r="A12" s="12" t="s">
        <v>48</v>
      </c>
      <c r="B12" s="12"/>
      <c r="C12" s="12" t="n">
        <v>4335</v>
      </c>
      <c r="D12" s="12" t="n">
        <v>5</v>
      </c>
      <c r="E12" s="12" t="n">
        <v>0.12</v>
      </c>
      <c r="F12" s="12" t="s">
        <v>8</v>
      </c>
      <c r="G12" s="12" t="s">
        <v>8</v>
      </c>
      <c r="H12" s="12" t="s">
        <v>8</v>
      </c>
    </row>
    <row r="13" customFormat="false" ht="15" hidden="false" customHeight="false" outlineLevel="0" collapsed="false">
      <c r="A13" s="4" t="s">
        <v>49</v>
      </c>
      <c r="B13" s="4"/>
      <c r="C13" s="4" t="n">
        <v>5359</v>
      </c>
      <c r="D13" s="4" t="n">
        <v>18</v>
      </c>
      <c r="E13" s="4" t="n">
        <v>0.34</v>
      </c>
      <c r="F13" s="4" t="s">
        <v>8</v>
      </c>
      <c r="G13" s="4" t="s">
        <v>8</v>
      </c>
      <c r="H13" s="4" t="s">
        <v>8</v>
      </c>
    </row>
    <row r="14" customFormat="false" ht="15" hidden="false" customHeight="false" outlineLevel="0" collapsed="false">
      <c r="A14" s="12" t="s">
        <v>50</v>
      </c>
      <c r="B14" s="12"/>
      <c r="C14" s="12" t="n">
        <v>2033</v>
      </c>
      <c r="D14" s="12" t="n">
        <v>15</v>
      </c>
      <c r="E14" s="12" t="n">
        <v>0.74</v>
      </c>
      <c r="F14" s="12" t="s">
        <v>8</v>
      </c>
      <c r="G14" s="12" t="s">
        <v>8</v>
      </c>
      <c r="H14" s="12" t="s">
        <v>8</v>
      </c>
    </row>
    <row r="15" customFormat="false" ht="15" hidden="false" customHeight="false" outlineLevel="0" collapsed="false">
      <c r="A15" s="4" t="s">
        <v>51</v>
      </c>
      <c r="B15" s="4"/>
      <c r="C15" s="4" t="n">
        <v>5686</v>
      </c>
      <c r="D15" s="4" t="n">
        <v>54</v>
      </c>
      <c r="E15" s="4" t="n">
        <v>0.95</v>
      </c>
      <c r="F15" s="4" t="s">
        <v>8</v>
      </c>
      <c r="G15" s="4" t="s">
        <v>8</v>
      </c>
      <c r="H15" s="4" t="s">
        <v>8</v>
      </c>
    </row>
    <row r="16" customFormat="false" ht="15" hidden="false" customHeight="false" outlineLevel="0" collapsed="false">
      <c r="A16" s="12" t="s">
        <v>52</v>
      </c>
      <c r="B16" s="12"/>
      <c r="C16" s="12" t="n">
        <v>4039</v>
      </c>
      <c r="D16" s="12" t="n">
        <v>22</v>
      </c>
      <c r="E16" s="12" t="n">
        <v>0.54</v>
      </c>
      <c r="F16" s="12" t="s">
        <v>8</v>
      </c>
      <c r="G16" s="12" t="s">
        <v>8</v>
      </c>
      <c r="H16" s="12" t="s">
        <v>8</v>
      </c>
    </row>
    <row r="17" customFormat="false" ht="15" hidden="false" customHeight="false" outlineLevel="0" collapsed="false">
      <c r="A17" s="4" t="s">
        <v>53</v>
      </c>
      <c r="B17" s="4" t="s">
        <v>54</v>
      </c>
      <c r="C17" s="4" t="n">
        <v>1175</v>
      </c>
      <c r="D17" s="4" t="n">
        <v>2</v>
      </c>
      <c r="E17" s="4" t="n">
        <v>0.17</v>
      </c>
      <c r="F17" s="4" t="n">
        <v>3653029</v>
      </c>
      <c r="G17" s="4" t="n">
        <v>0.05</v>
      </c>
      <c r="H17" s="4" t="n">
        <v>32.17</v>
      </c>
    </row>
    <row r="18" customFormat="false" ht="15" hidden="false" customHeight="false" outlineLevel="0" collapsed="false">
      <c r="A18" s="12" t="s">
        <v>55</v>
      </c>
      <c r="B18" s="12" t="s">
        <v>56</v>
      </c>
      <c r="C18" s="12" t="n">
        <v>179</v>
      </c>
      <c r="D18" s="12" t="n">
        <v>8</v>
      </c>
      <c r="E18" s="12" t="n">
        <v>4.47</v>
      </c>
      <c r="F18" s="12" t="n">
        <v>4147360</v>
      </c>
      <c r="G18" s="12" t="n">
        <v>0.19</v>
      </c>
      <c r="H18" s="12" t="n">
        <v>4.32</v>
      </c>
    </row>
    <row r="19" customFormat="false" ht="15" hidden="false" customHeight="false" outlineLevel="0" collapsed="false">
      <c r="A19" s="4" t="s">
        <v>57</v>
      </c>
      <c r="B19" s="4" t="s">
        <v>58</v>
      </c>
      <c r="C19" s="4" t="n">
        <v>764</v>
      </c>
      <c r="D19" s="4" t="n">
        <v>25</v>
      </c>
      <c r="E19" s="4" t="n">
        <v>3.27</v>
      </c>
      <c r="F19" s="4" t="n">
        <v>6452807</v>
      </c>
      <c r="G19" s="4" t="n">
        <v>0.39</v>
      </c>
      <c r="H19" s="4" t="n">
        <v>11.84</v>
      </c>
    </row>
    <row r="20" customFormat="false" ht="15" hidden="false" customHeight="false" outlineLevel="0" collapsed="false">
      <c r="A20" s="12" t="s">
        <v>59</v>
      </c>
      <c r="B20" s="12"/>
      <c r="C20" s="12" t="n">
        <v>4978</v>
      </c>
      <c r="D20" s="12" t="n">
        <v>19</v>
      </c>
      <c r="E20" s="12" t="n">
        <v>0.38</v>
      </c>
      <c r="F20" s="12" t="s">
        <v>8</v>
      </c>
      <c r="G20" s="12" t="s">
        <v>8</v>
      </c>
      <c r="H20" s="12" t="s">
        <v>8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n">
        <v>5245</v>
      </c>
      <c r="D21" s="4" t="n">
        <v>13</v>
      </c>
      <c r="E21" s="4" t="n">
        <v>0.25</v>
      </c>
      <c r="F21" s="4" t="n">
        <v>5834314</v>
      </c>
      <c r="G21" s="4" t="n">
        <v>0.22</v>
      </c>
      <c r="H21" s="4" t="n">
        <v>89.9</v>
      </c>
    </row>
    <row r="22" customFormat="false" ht="15" hidden="false" customHeight="false" outlineLevel="0" collapsed="false">
      <c r="A22" s="12" t="s">
        <v>62</v>
      </c>
      <c r="B22" s="12" t="s">
        <v>63</v>
      </c>
      <c r="C22" s="12" t="n">
        <v>924</v>
      </c>
      <c r="D22" s="12" t="n">
        <v>5</v>
      </c>
      <c r="E22" s="12" t="n">
        <v>0.54</v>
      </c>
      <c r="F22" s="12" t="n">
        <v>3704483</v>
      </c>
      <c r="G22" s="12" t="n">
        <v>0.13</v>
      </c>
      <c r="H22" s="12" t="n">
        <v>24.94</v>
      </c>
    </row>
    <row r="23" customFormat="false" ht="15" hidden="false" customHeight="false" outlineLevel="0" collapsed="false">
      <c r="A23" s="4" t="s">
        <v>64</v>
      </c>
      <c r="B23" s="4"/>
      <c r="C23" s="4" t="n">
        <v>107</v>
      </c>
      <c r="D23" s="4" t="n">
        <v>10</v>
      </c>
      <c r="E23" s="4" t="n">
        <v>9.35</v>
      </c>
      <c r="F23" s="4" t="s">
        <v>8</v>
      </c>
      <c r="G23" s="4" t="s">
        <v>8</v>
      </c>
      <c r="H23" s="4" t="s">
        <v>8</v>
      </c>
    </row>
    <row r="24" customFormat="false" ht="15" hidden="false" customHeight="false" outlineLevel="0" collapsed="false">
      <c r="A24" s="12" t="s">
        <v>65</v>
      </c>
      <c r="B24" s="12" t="s">
        <v>66</v>
      </c>
      <c r="C24" s="12" t="n">
        <v>2289</v>
      </c>
      <c r="D24" s="12" t="n">
        <v>2</v>
      </c>
      <c r="E24" s="12" t="n">
        <v>0.09</v>
      </c>
      <c r="F24" s="12" t="n">
        <v>409968</v>
      </c>
      <c r="G24" s="12" t="n">
        <v>0.49</v>
      </c>
      <c r="H24" s="12" t="n">
        <v>558.34</v>
      </c>
    </row>
    <row r="25" customFormat="false" ht="15" hidden="false" customHeight="false" outlineLevel="0" collapsed="false">
      <c r="A25" s="4" t="s">
        <v>67</v>
      </c>
      <c r="B25" s="4" t="s">
        <v>68</v>
      </c>
      <c r="C25" s="4" t="n">
        <v>568</v>
      </c>
      <c r="D25" s="4" t="n">
        <v>5</v>
      </c>
      <c r="E25" s="4" t="n">
        <v>0.88</v>
      </c>
      <c r="F25" s="4" t="n">
        <v>270835</v>
      </c>
      <c r="G25" s="4" t="n">
        <v>1.85</v>
      </c>
      <c r="H25" s="4" t="n">
        <v>209.72</v>
      </c>
    </row>
    <row r="26" customFormat="false" ht="15" hidden="false" customHeight="false" outlineLevel="0" collapsed="false">
      <c r="A26" s="12" t="s">
        <v>69</v>
      </c>
      <c r="B26" s="12" t="s">
        <v>70</v>
      </c>
      <c r="C26" s="12" t="n">
        <v>1928</v>
      </c>
      <c r="D26" s="12" t="n">
        <v>15</v>
      </c>
      <c r="E26" s="12" t="n">
        <v>0.78</v>
      </c>
      <c r="F26" s="12" t="n">
        <v>566280</v>
      </c>
      <c r="G26" s="12" t="n">
        <v>2.65</v>
      </c>
      <c r="H26" s="12" t="n">
        <v>340.47</v>
      </c>
    </row>
    <row r="27" customFormat="false" ht="15" hidden="false" customHeight="false" outlineLevel="0" collapsed="false">
      <c r="A27" s="4" t="s">
        <v>71</v>
      </c>
      <c r="B27" s="4" t="s">
        <v>72</v>
      </c>
      <c r="C27" s="4" t="n">
        <v>605</v>
      </c>
      <c r="D27" s="4" t="n">
        <v>1</v>
      </c>
      <c r="E27" s="4" t="n">
        <v>0.17</v>
      </c>
      <c r="F27" s="4" t="n">
        <v>516264</v>
      </c>
      <c r="G27" s="4" t="n">
        <v>0.19</v>
      </c>
      <c r="H27" s="4" t="n">
        <v>117.19</v>
      </c>
    </row>
    <row r="28" customFormat="false" ht="15" hidden="false" customHeight="false" outlineLevel="0" collapsed="false">
      <c r="A28" s="12" t="s">
        <v>73</v>
      </c>
      <c r="B28" s="12" t="s">
        <v>74</v>
      </c>
      <c r="C28" s="12" t="n">
        <v>322</v>
      </c>
      <c r="D28" s="12" t="n">
        <v>3</v>
      </c>
      <c r="E28" s="12" t="n">
        <v>0.93</v>
      </c>
      <c r="F28" s="12" t="n">
        <v>118659</v>
      </c>
      <c r="G28" s="12" t="n">
        <v>2.53</v>
      </c>
      <c r="H28" s="12" t="n">
        <v>271.37</v>
      </c>
    </row>
    <row r="29" customFormat="false" ht="15" hidden="false" customHeight="false" outlineLevel="0" collapsed="false">
      <c r="A29" s="11" t="s">
        <v>27</v>
      </c>
      <c r="B29" s="11" t="s">
        <v>75</v>
      </c>
      <c r="C29" s="11" t="n">
        <f aca="false">SUM(C4:C28)</f>
        <v>76362</v>
      </c>
      <c r="D29" s="11" t="n">
        <f aca="false">SUM(D4:D28)</f>
        <v>429</v>
      </c>
      <c r="E29" s="11" t="n">
        <f aca="false">D29/C29*100</f>
        <v>0.561797752808989</v>
      </c>
      <c r="F29" s="11" t="n">
        <v>106556174</v>
      </c>
      <c r="G29" s="11" t="n">
        <f aca="false">D29/F29*100000</f>
        <v>0.402604545467258</v>
      </c>
      <c r="H29" s="11" t="n">
        <f aca="false">C29/F29*100000</f>
        <v>71.6636090931718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15" min="6" style="0" width="12"/>
  </cols>
  <sheetData>
    <row r="1" customFormat="false" ht="15" hidden="false" customHeight="false" outlineLevel="0" collapsed="false">
      <c r="A1" s="7" t="s">
        <v>76</v>
      </c>
      <c r="B1" s="7"/>
      <c r="C1" s="7"/>
      <c r="D1" s="7"/>
      <c r="E1" s="7"/>
      <c r="F1" s="7"/>
      <c r="G1" s="7"/>
      <c r="H1" s="7"/>
      <c r="I1" s="7"/>
      <c r="J1" s="7"/>
    </row>
    <row r="3" customFormat="false" ht="15" hidden="false" customHeight="false" outlineLevel="0" collapsed="false">
      <c r="A3" s="8" t="s">
        <v>77</v>
      </c>
      <c r="B3" s="8"/>
      <c r="C3" s="8"/>
      <c r="D3" s="8"/>
      <c r="F3" s="8" t="s">
        <v>78</v>
      </c>
      <c r="G3" s="8"/>
      <c r="H3" s="8"/>
      <c r="I3" s="8"/>
      <c r="J3" s="8"/>
      <c r="K3" s="8"/>
      <c r="L3" s="8"/>
      <c r="M3" s="8"/>
      <c r="N3" s="8"/>
    </row>
    <row r="4" customFormat="false" ht="15" hidden="false" customHeight="false" outlineLevel="0" collapsed="false">
      <c r="A4" s="3" t="s">
        <v>2</v>
      </c>
      <c r="B4" s="3" t="s">
        <v>79</v>
      </c>
      <c r="C4" s="3" t="s">
        <v>80</v>
      </c>
      <c r="D4" s="3" t="s">
        <v>27</v>
      </c>
      <c r="F4" s="3" t="s">
        <v>2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27</v>
      </c>
    </row>
    <row r="5" customFormat="false" ht="15" hidden="false" customHeight="false" outlineLevel="0" collapsed="false">
      <c r="A5" s="4" t="n">
        <v>2024</v>
      </c>
      <c r="B5" s="4" t="n">
        <v>61853</v>
      </c>
      <c r="C5" s="4" t="n">
        <v>14509</v>
      </c>
      <c r="D5" s="4" t="n">
        <f aca="false">B5+C5</f>
        <v>76362</v>
      </c>
      <c r="F5" s="4" t="n">
        <v>2024</v>
      </c>
      <c r="G5" s="4" t="n">
        <v>3735</v>
      </c>
      <c r="H5" s="4" t="n">
        <v>11031</v>
      </c>
      <c r="I5" s="4" t="n">
        <v>24745</v>
      </c>
      <c r="J5" s="4" t="n">
        <v>13531</v>
      </c>
      <c r="K5" s="4" t="n">
        <v>10348</v>
      </c>
      <c r="L5" s="4" t="n">
        <v>6887</v>
      </c>
      <c r="M5" s="4" t="n">
        <v>4081</v>
      </c>
      <c r="N5" s="4" t="n">
        <v>2004</v>
      </c>
      <c r="O5" s="4" t="n">
        <f aca="false">SUM(G5:N5)</f>
        <v>76362</v>
      </c>
    </row>
    <row r="6" customFormat="false" ht="15" hidden="false" customHeight="false" outlineLevel="0" collapsed="false">
      <c r="A6" s="4" t="n">
        <v>2023</v>
      </c>
      <c r="B6" s="4" t="n">
        <v>57198</v>
      </c>
      <c r="C6" s="4" t="n">
        <v>13531</v>
      </c>
      <c r="D6" s="4" t="n">
        <f aca="false">B6+C6</f>
        <v>70729</v>
      </c>
      <c r="F6" s="4" t="n">
        <v>2023</v>
      </c>
      <c r="G6" s="4" t="n">
        <v>5337</v>
      </c>
      <c r="H6" s="4" t="n">
        <v>9944</v>
      </c>
      <c r="I6" s="4" t="n">
        <v>21151</v>
      </c>
      <c r="J6" s="4" t="n">
        <v>12654</v>
      </c>
      <c r="K6" s="4" t="n">
        <v>9859</v>
      </c>
      <c r="L6" s="4" t="n">
        <v>6228</v>
      </c>
      <c r="M6" s="4" t="n">
        <v>3716</v>
      </c>
      <c r="N6" s="4" t="n">
        <v>2127</v>
      </c>
      <c r="O6" s="4" t="n">
        <f aca="false">SUM(G6:N6)</f>
        <v>71016</v>
      </c>
    </row>
    <row r="7" customFormat="false" ht="15" hidden="false" customHeight="false" outlineLevel="0" collapsed="false">
      <c r="A7" s="4" t="n">
        <v>2022</v>
      </c>
      <c r="B7" s="4" t="n">
        <v>45400</v>
      </c>
      <c r="C7" s="4" t="n">
        <v>10591</v>
      </c>
      <c r="D7" s="4" t="n">
        <f aca="false">B7+C7</f>
        <v>55991</v>
      </c>
      <c r="F7" s="4" t="n">
        <v>2022</v>
      </c>
      <c r="G7" s="4" t="n">
        <v>5967</v>
      </c>
      <c r="H7" s="4" t="n">
        <v>7042</v>
      </c>
      <c r="I7" s="4" t="n">
        <v>15881</v>
      </c>
      <c r="J7" s="4" t="n">
        <v>10098</v>
      </c>
      <c r="K7" s="4" t="n">
        <v>7717</v>
      </c>
      <c r="L7" s="4" t="n">
        <v>4643</v>
      </c>
      <c r="M7" s="4" t="n">
        <v>2810</v>
      </c>
      <c r="N7" s="4" t="n">
        <v>1833</v>
      </c>
      <c r="O7" s="4" t="n">
        <f aca="false">SUM(G7:N7)</f>
        <v>55991</v>
      </c>
    </row>
    <row r="8" customFormat="false" ht="15" hidden="false" customHeight="false" outlineLevel="0" collapsed="false">
      <c r="A8" s="4" t="n">
        <v>2021</v>
      </c>
      <c r="B8" s="4" t="n">
        <v>41670</v>
      </c>
      <c r="C8" s="4" t="n">
        <v>9331</v>
      </c>
      <c r="D8" s="4" t="n">
        <f aca="false">B8+C8</f>
        <v>51001</v>
      </c>
      <c r="F8" s="4" t="n">
        <v>2021</v>
      </c>
      <c r="G8" s="4" t="n">
        <v>4414</v>
      </c>
      <c r="H8" s="4" t="n">
        <v>6888</v>
      </c>
      <c r="I8" s="4" t="n">
        <v>14703</v>
      </c>
      <c r="J8" s="4" t="n">
        <v>10134</v>
      </c>
      <c r="K8" s="4" t="n">
        <v>7156</v>
      </c>
      <c r="L8" s="4" t="n">
        <v>4445</v>
      </c>
      <c r="M8" s="4" t="n">
        <v>2593</v>
      </c>
      <c r="N8" s="4" t="n">
        <v>1178</v>
      </c>
      <c r="O8" s="4" t="n">
        <f aca="false">SUM(G8:N8)</f>
        <v>51511</v>
      </c>
    </row>
    <row r="9" customFormat="false" ht="15" hidden="false" customHeight="false" outlineLevel="0" collapsed="false">
      <c r="A9" s="4" t="n">
        <v>2020</v>
      </c>
      <c r="B9" s="4" t="n">
        <v>46324</v>
      </c>
      <c r="C9" s="4" t="n">
        <v>10222</v>
      </c>
      <c r="D9" s="4" t="n">
        <f aca="false">B9+C9</f>
        <v>56546</v>
      </c>
      <c r="F9" s="4" t="n">
        <v>2020</v>
      </c>
      <c r="G9" s="4" t="n">
        <v>4176</v>
      </c>
      <c r="H9" s="4" t="n">
        <v>7487</v>
      </c>
      <c r="I9" s="4" t="n">
        <v>16329</v>
      </c>
      <c r="J9" s="4" t="n">
        <v>11568</v>
      </c>
      <c r="K9" s="4" t="n">
        <v>8188</v>
      </c>
      <c r="L9" s="4" t="n">
        <v>4935</v>
      </c>
      <c r="M9" s="4" t="n">
        <v>2830</v>
      </c>
      <c r="N9" s="4" t="n">
        <v>1276</v>
      </c>
      <c r="O9" s="4" t="n">
        <f aca="false">SUM(G9:N9)</f>
        <v>56789</v>
      </c>
    </row>
    <row r="11" customFormat="false" ht="15" hidden="false" customHeight="false" outlineLevel="0" collapsed="false">
      <c r="A11" s="9" t="s">
        <v>89</v>
      </c>
      <c r="B11" s="9"/>
      <c r="C11" s="9"/>
      <c r="D11" s="9"/>
      <c r="F11" s="9" t="s">
        <v>90</v>
      </c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false" outlineLevel="0" collapsed="false">
      <c r="A12" s="10" t="s">
        <v>2</v>
      </c>
      <c r="B12" s="10" t="s">
        <v>79</v>
      </c>
      <c r="C12" s="10" t="s">
        <v>80</v>
      </c>
      <c r="D12" s="10" t="s">
        <v>27</v>
      </c>
      <c r="F12" s="10" t="s">
        <v>2</v>
      </c>
      <c r="G12" s="10" t="s">
        <v>81</v>
      </c>
      <c r="H12" s="10" t="s">
        <v>82</v>
      </c>
      <c r="I12" s="10" t="s">
        <v>83</v>
      </c>
      <c r="J12" s="10" t="s">
        <v>84</v>
      </c>
      <c r="K12" s="10" t="s">
        <v>85</v>
      </c>
      <c r="L12" s="10" t="s">
        <v>86</v>
      </c>
      <c r="M12" s="10" t="s">
        <v>87</v>
      </c>
      <c r="N12" s="10" t="s">
        <v>88</v>
      </c>
      <c r="O12" s="10" t="s">
        <v>27</v>
      </c>
    </row>
    <row r="13" customFormat="false" ht="15" hidden="false" customHeight="false" outlineLevel="0" collapsed="false">
      <c r="A13" s="4" t="n">
        <v>2024</v>
      </c>
      <c r="B13" s="4" t="n">
        <v>4397</v>
      </c>
      <c r="C13" s="4" t="n">
        <v>863</v>
      </c>
      <c r="D13" s="4" t="n">
        <f aca="false">B13+C13</f>
        <v>5260</v>
      </c>
      <c r="F13" s="4" t="n">
        <v>2024</v>
      </c>
      <c r="G13" s="4" t="n">
        <v>218</v>
      </c>
      <c r="H13" s="4" t="n">
        <v>505</v>
      </c>
      <c r="I13" s="4" t="n">
        <v>1219</v>
      </c>
      <c r="J13" s="4" t="n">
        <v>796</v>
      </c>
      <c r="K13" s="4" t="n">
        <v>746</v>
      </c>
      <c r="L13" s="4" t="n">
        <v>623</v>
      </c>
      <c r="M13" s="4" t="n">
        <v>613</v>
      </c>
      <c r="N13" s="4" t="n">
        <v>540</v>
      </c>
      <c r="O13" s="4" t="n">
        <f aca="false">SUM(G13:N13)</f>
        <v>5260</v>
      </c>
    </row>
    <row r="14" customFormat="false" ht="15" hidden="false" customHeight="false" outlineLevel="0" collapsed="false">
      <c r="A14" s="4" t="n">
        <v>2023</v>
      </c>
      <c r="B14" s="4" t="n">
        <v>4902</v>
      </c>
      <c r="C14" s="4" t="n">
        <v>959</v>
      </c>
      <c r="D14" s="4" t="n">
        <f aca="false">B14+C14</f>
        <v>5861</v>
      </c>
      <c r="F14" s="4" t="n">
        <v>2023</v>
      </c>
      <c r="G14" s="4" t="n">
        <v>291</v>
      </c>
      <c r="H14" s="4" t="n">
        <v>575</v>
      </c>
      <c r="I14" s="4" t="n">
        <v>1409</v>
      </c>
      <c r="J14" s="4" t="n">
        <v>822</v>
      </c>
      <c r="K14" s="4" t="n">
        <v>891</v>
      </c>
      <c r="L14" s="4" t="n">
        <v>691</v>
      </c>
      <c r="M14" s="4" t="n">
        <v>668</v>
      </c>
      <c r="N14" s="4" t="n">
        <v>514</v>
      </c>
      <c r="O14" s="4" t="n">
        <f aca="false">SUM(G14:N14)</f>
        <v>5861</v>
      </c>
    </row>
    <row r="15" customFormat="false" ht="15" hidden="false" customHeight="false" outlineLevel="0" collapsed="false">
      <c r="A15" s="4" t="n">
        <v>2022</v>
      </c>
      <c r="B15" s="4" t="n">
        <v>1366</v>
      </c>
      <c r="C15" s="4" t="n">
        <v>6396</v>
      </c>
      <c r="D15" s="4" t="n">
        <f aca="false">B15+C15</f>
        <v>7762</v>
      </c>
      <c r="F15" s="4" t="n">
        <v>2022</v>
      </c>
      <c r="G15" s="4" t="n">
        <v>401</v>
      </c>
      <c r="H15" s="4" t="n">
        <v>754</v>
      </c>
      <c r="I15" s="4" t="n">
        <v>1809</v>
      </c>
      <c r="J15" s="4" t="n">
        <v>1271</v>
      </c>
      <c r="K15" s="4" t="n">
        <v>1146</v>
      </c>
      <c r="L15" s="4" t="n">
        <v>914</v>
      </c>
      <c r="M15" s="4" t="n">
        <v>786</v>
      </c>
      <c r="N15" s="4" t="n">
        <v>681</v>
      </c>
      <c r="O15" s="4" t="n">
        <f aca="false">SUM(G15:N15)</f>
        <v>7762</v>
      </c>
    </row>
    <row r="16" customFormat="false" ht="15" hidden="false" customHeight="false" outlineLevel="0" collapsed="false">
      <c r="A16" s="4" t="n">
        <v>2021</v>
      </c>
      <c r="B16" s="4" t="n">
        <v>6057</v>
      </c>
      <c r="C16" s="4" t="n">
        <v>1269</v>
      </c>
      <c r="D16" s="4" t="n">
        <f aca="false">B16+C16</f>
        <v>7326</v>
      </c>
      <c r="F16" s="4" t="n">
        <v>2021</v>
      </c>
      <c r="G16" s="4" t="n">
        <v>420</v>
      </c>
      <c r="H16" s="4" t="n">
        <v>684</v>
      </c>
      <c r="I16" s="4" t="n">
        <v>1656</v>
      </c>
      <c r="J16" s="4" t="n">
        <v>1234</v>
      </c>
      <c r="K16" s="4" t="n">
        <v>1086</v>
      </c>
      <c r="L16" s="4" t="n">
        <v>802</v>
      </c>
      <c r="M16" s="4" t="n">
        <v>784</v>
      </c>
      <c r="N16" s="4" t="n">
        <v>660</v>
      </c>
      <c r="O16" s="4" t="n">
        <f aca="false">SUM(G16:N16)</f>
        <v>7326</v>
      </c>
    </row>
    <row r="17" customFormat="false" ht="15" hidden="false" customHeight="false" outlineLevel="0" collapsed="false">
      <c r="A17" s="4" t="n">
        <v>2020</v>
      </c>
      <c r="B17" s="4" t="n">
        <v>5200</v>
      </c>
      <c r="C17" s="4" t="n">
        <v>978</v>
      </c>
      <c r="D17" s="4" t="n">
        <f aca="false">B17+C17</f>
        <v>6178</v>
      </c>
      <c r="F17" s="4" t="n">
        <v>2020</v>
      </c>
      <c r="G17" s="4" t="n">
        <v>419</v>
      </c>
      <c r="H17" s="4" t="n">
        <v>629</v>
      </c>
      <c r="I17" s="4" t="n">
        <v>1274</v>
      </c>
      <c r="J17" s="4" t="n">
        <v>1038</v>
      </c>
      <c r="K17" s="4" t="n">
        <v>908</v>
      </c>
      <c r="L17" s="4" t="n">
        <v>691</v>
      </c>
      <c r="M17" s="4" t="n">
        <v>640</v>
      </c>
      <c r="N17" s="4" t="n">
        <v>579</v>
      </c>
      <c r="O17" s="4" t="n">
        <f aca="false">SUM(G17:N17)</f>
        <v>6178</v>
      </c>
    </row>
  </sheetData>
  <mergeCells count="5">
    <mergeCell ref="A1:J1"/>
    <mergeCell ref="A3:D3"/>
    <mergeCell ref="F3:N3"/>
    <mergeCell ref="A11:D11"/>
    <mergeCell ref="F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5"/>
  </cols>
  <sheetData>
    <row r="1" customFormat="false" ht="16.15" hidden="false" customHeight="false" outlineLevel="0" collapsed="false">
      <c r="A1" s="7" t="s">
        <v>91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92</v>
      </c>
      <c r="B3" s="8"/>
      <c r="C3" s="8"/>
      <c r="D3" s="8"/>
      <c r="E3" s="8"/>
      <c r="F3" s="8"/>
      <c r="H3" s="8" t="s">
        <v>93</v>
      </c>
      <c r="I3" s="8"/>
      <c r="J3" s="8"/>
      <c r="K3" s="8"/>
      <c r="L3" s="8"/>
    </row>
    <row r="4" customFormat="false" ht="15" hidden="false" customHeight="false" outlineLevel="0" collapsed="false">
      <c r="A4" s="3" t="s">
        <v>2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27</v>
      </c>
      <c r="H4" s="3" t="s">
        <v>2</v>
      </c>
      <c r="I4" s="3" t="s">
        <v>98</v>
      </c>
      <c r="J4" s="3" t="s">
        <v>99</v>
      </c>
      <c r="K4" s="3" t="s">
        <v>100</v>
      </c>
      <c r="L4" s="3" t="s">
        <v>101</v>
      </c>
      <c r="M4" s="3" t="s">
        <v>27</v>
      </c>
    </row>
    <row r="5" customFormat="false" ht="15" hidden="false" customHeight="false" outlineLevel="0" collapsed="false">
      <c r="A5" s="4" t="n">
        <v>2024</v>
      </c>
      <c r="B5" s="4" t="n">
        <v>20752</v>
      </c>
      <c r="C5" s="4" t="n">
        <v>11190</v>
      </c>
      <c r="D5" s="4" t="n">
        <v>22845</v>
      </c>
      <c r="E5" s="4" t="n">
        <v>21575</v>
      </c>
      <c r="F5" s="4" t="n">
        <f aca="false">SUM(B5:E5)</f>
        <v>76362</v>
      </c>
      <c r="H5" s="4" t="n">
        <v>2024</v>
      </c>
      <c r="I5" s="4" t="n">
        <v>16820</v>
      </c>
      <c r="J5" s="4" t="n">
        <v>131</v>
      </c>
      <c r="K5" s="4" t="n">
        <v>4226</v>
      </c>
      <c r="L5" s="4" t="n">
        <v>55185</v>
      </c>
      <c r="M5" s="4" t="n">
        <f aca="false">SUM(I5:L5)</f>
        <v>76362</v>
      </c>
    </row>
    <row r="6" customFormat="false" ht="15" hidden="false" customHeight="false" outlineLevel="0" collapsed="false">
      <c r="A6" s="4" t="n">
        <v>2023</v>
      </c>
      <c r="B6" s="4" t="n">
        <v>17553</v>
      </c>
      <c r="C6" s="4" t="n">
        <v>11355</v>
      </c>
      <c r="D6" s="4" t="n">
        <v>22454</v>
      </c>
      <c r="E6" s="4" t="n">
        <v>19654</v>
      </c>
      <c r="F6" s="4" t="n">
        <f aca="false">SUM(B6:E6)</f>
        <v>71016</v>
      </c>
      <c r="H6" s="4" t="n">
        <v>2023</v>
      </c>
      <c r="I6" s="4" t="n">
        <v>18767</v>
      </c>
      <c r="J6" s="4" t="n">
        <v>151</v>
      </c>
      <c r="K6" s="4" t="n">
        <v>23907</v>
      </c>
      <c r="L6" s="4" t="n">
        <v>28191</v>
      </c>
      <c r="M6" s="4" t="n">
        <f aca="false">SUM(I6:L6)</f>
        <v>71016</v>
      </c>
    </row>
    <row r="7" customFormat="false" ht="15" hidden="false" customHeight="false" outlineLevel="0" collapsed="false">
      <c r="A7" s="4" t="n">
        <v>2022</v>
      </c>
      <c r="B7" s="4" t="n">
        <v>15580</v>
      </c>
      <c r="C7" s="4" t="n">
        <v>9645</v>
      </c>
      <c r="D7" s="4" t="n">
        <v>16607</v>
      </c>
      <c r="E7" s="4" t="n">
        <v>14159</v>
      </c>
      <c r="F7" s="4" t="n">
        <f aca="false">SUM(B7:E7)</f>
        <v>55991</v>
      </c>
      <c r="H7" s="4" t="n">
        <v>2022</v>
      </c>
      <c r="I7" s="4" t="n">
        <v>16647</v>
      </c>
      <c r="J7" s="4" t="n">
        <v>83</v>
      </c>
      <c r="K7" s="4" t="n">
        <v>14269</v>
      </c>
      <c r="L7" s="4" t="n">
        <v>24992</v>
      </c>
      <c r="M7" s="4" t="n">
        <f aca="false">SUM(I7:L7)</f>
        <v>55991</v>
      </c>
    </row>
    <row r="8" customFormat="false" ht="15" hidden="false" customHeight="false" outlineLevel="0" collapsed="false">
      <c r="A8" s="4" t="n">
        <v>2021</v>
      </c>
      <c r="B8" s="4" t="n">
        <v>12948</v>
      </c>
      <c r="C8" s="4" t="n">
        <v>9193</v>
      </c>
      <c r="D8" s="4" t="n">
        <v>17805</v>
      </c>
      <c r="E8" s="4" t="n">
        <v>11565</v>
      </c>
      <c r="F8" s="4" t="n">
        <f aca="false">SUM(B8:E8)</f>
        <v>51511</v>
      </c>
      <c r="H8" s="4" t="n">
        <v>2021</v>
      </c>
      <c r="I8" s="4" t="n">
        <v>16238</v>
      </c>
      <c r="J8" s="4" t="n">
        <v>162</v>
      </c>
      <c r="K8" s="4" t="n">
        <v>12904</v>
      </c>
      <c r="L8" s="4" t="n">
        <v>22207</v>
      </c>
      <c r="M8" s="4" t="n">
        <f aca="false">SUM(I8:L8)</f>
        <v>51511</v>
      </c>
    </row>
    <row r="9" customFormat="false" ht="15" hidden="false" customHeight="false" outlineLevel="0" collapsed="false">
      <c r="A9" s="4" t="n">
        <v>2020</v>
      </c>
      <c r="B9" s="4" t="n">
        <v>14796</v>
      </c>
      <c r="C9" s="4" t="n">
        <v>10064</v>
      </c>
      <c r="D9" s="4" t="n">
        <v>18017</v>
      </c>
      <c r="E9" s="4" t="n">
        <v>13912</v>
      </c>
      <c r="F9" s="4" t="n">
        <f aca="false">SUM(B9:E9)</f>
        <v>56789</v>
      </c>
      <c r="H9" s="4" t="n">
        <v>2020</v>
      </c>
      <c r="I9" s="4" t="n">
        <v>15306</v>
      </c>
      <c r="J9" s="4" t="n">
        <v>111</v>
      </c>
      <c r="K9" s="4" t="n">
        <v>16175</v>
      </c>
      <c r="L9" s="4" t="n">
        <v>25197</v>
      </c>
      <c r="M9" s="4" t="n">
        <f aca="false">SUM(I9:L9)</f>
        <v>56789</v>
      </c>
    </row>
    <row r="11" customFormat="false" ht="15" hidden="false" customHeight="false" outlineLevel="0" collapsed="false">
      <c r="A11" s="9" t="s">
        <v>102</v>
      </c>
      <c r="B11" s="9"/>
      <c r="C11" s="9"/>
      <c r="D11" s="9"/>
      <c r="E11" s="9"/>
      <c r="F11" s="9"/>
      <c r="H11" s="9" t="s">
        <v>103</v>
      </c>
      <c r="I11" s="9"/>
      <c r="J11" s="9"/>
      <c r="K11" s="9"/>
      <c r="L11" s="9"/>
      <c r="M11" s="9"/>
    </row>
    <row r="12" customFormat="false" ht="15" hidden="false" customHeight="false" outlineLevel="0" collapsed="false">
      <c r="A12" s="10" t="s">
        <v>2</v>
      </c>
      <c r="B12" s="10" t="s">
        <v>94</v>
      </c>
      <c r="C12" s="10" t="s">
        <v>95</v>
      </c>
      <c r="D12" s="10" t="s">
        <v>96</v>
      </c>
      <c r="E12" s="10" t="s">
        <v>97</v>
      </c>
      <c r="F12" s="10" t="s">
        <v>27</v>
      </c>
      <c r="H12" s="10" t="s">
        <v>2</v>
      </c>
      <c r="I12" s="10" t="s">
        <v>98</v>
      </c>
      <c r="J12" s="10" t="s">
        <v>99</v>
      </c>
      <c r="K12" s="10" t="s">
        <v>104</v>
      </c>
      <c r="L12" s="10" t="s">
        <v>101</v>
      </c>
      <c r="M12" s="10" t="s">
        <v>27</v>
      </c>
    </row>
    <row r="13" customFormat="false" ht="15" hidden="false" customHeight="false" outlineLevel="0" collapsed="false">
      <c r="A13" s="4" t="n">
        <v>2024</v>
      </c>
      <c r="B13" s="4" t="n">
        <v>2125</v>
      </c>
      <c r="C13" s="4" t="n">
        <v>1202</v>
      </c>
      <c r="D13" s="4" t="n">
        <v>1174</v>
      </c>
      <c r="E13" s="4" t="n">
        <v>759</v>
      </c>
      <c r="F13" s="4" t="n">
        <f aca="false">SUM(B13:E13)</f>
        <v>5260</v>
      </c>
      <c r="H13" s="4" t="n">
        <v>2024</v>
      </c>
      <c r="I13" s="4" t="n">
        <v>2955</v>
      </c>
      <c r="J13" s="4" t="n">
        <v>223</v>
      </c>
      <c r="K13" s="4" t="n">
        <v>897</v>
      </c>
      <c r="L13" s="4" t="n">
        <v>1185</v>
      </c>
      <c r="M13" s="4" t="n">
        <f aca="false">SUM(I13:L13)</f>
        <v>5260</v>
      </c>
    </row>
    <row r="14" customFormat="false" ht="15" hidden="false" customHeight="false" outlineLevel="0" collapsed="false">
      <c r="A14" s="4" t="n">
        <v>2023</v>
      </c>
      <c r="B14" s="4" t="n">
        <v>2199</v>
      </c>
      <c r="C14" s="4" t="n">
        <v>1442</v>
      </c>
      <c r="D14" s="4" t="n">
        <v>1382</v>
      </c>
      <c r="E14" s="4" t="n">
        <v>838</v>
      </c>
      <c r="F14" s="4" t="n">
        <f aca="false">SUM(B14:E14)</f>
        <v>5861</v>
      </c>
      <c r="H14" s="4" t="n">
        <v>2023</v>
      </c>
      <c r="I14" s="4" t="n">
        <v>3412</v>
      </c>
      <c r="J14" s="4" t="n">
        <v>192</v>
      </c>
      <c r="K14" s="4" t="n">
        <v>970</v>
      </c>
      <c r="L14" s="4" t="n">
        <v>1287</v>
      </c>
      <c r="M14" s="4" t="n">
        <f aca="false">SUM(I14:L14)</f>
        <v>5861</v>
      </c>
    </row>
    <row r="15" customFormat="false" ht="15" hidden="false" customHeight="false" outlineLevel="0" collapsed="false">
      <c r="A15" s="4" t="n">
        <v>2022</v>
      </c>
      <c r="B15" s="4" t="n">
        <v>2270</v>
      </c>
      <c r="C15" s="4" t="n">
        <v>2052</v>
      </c>
      <c r="D15" s="4" t="n">
        <v>1835</v>
      </c>
      <c r="E15" s="4" t="n">
        <v>1605</v>
      </c>
      <c r="F15" s="4" t="n">
        <f aca="false">SUM(B15:E15)</f>
        <v>7762</v>
      </c>
      <c r="H15" s="4" t="n">
        <v>2022</v>
      </c>
      <c r="I15" s="4" t="n">
        <v>4652</v>
      </c>
      <c r="J15" s="4" t="n">
        <v>251</v>
      </c>
      <c r="K15" s="4" t="n">
        <v>1015</v>
      </c>
      <c r="L15" s="4" t="n">
        <v>1844</v>
      </c>
      <c r="M15" s="4" t="n">
        <f aca="false">SUM(I15:L15)</f>
        <v>7762</v>
      </c>
    </row>
    <row r="16" customFormat="false" ht="15" hidden="false" customHeight="false" outlineLevel="0" collapsed="false">
      <c r="A16" s="4" t="n">
        <v>2021</v>
      </c>
      <c r="B16" s="4" t="n">
        <v>707</v>
      </c>
      <c r="C16" s="4" t="n">
        <v>301</v>
      </c>
      <c r="D16" s="4" t="n">
        <v>860</v>
      </c>
      <c r="E16" s="4" t="n">
        <v>5458</v>
      </c>
      <c r="F16" s="4" t="n">
        <f aca="false">SUM(B16:E16)</f>
        <v>7326</v>
      </c>
      <c r="H16" s="4" t="n">
        <v>2021</v>
      </c>
      <c r="I16" s="4" t="n">
        <v>1490</v>
      </c>
      <c r="J16" s="4" t="n">
        <v>97</v>
      </c>
      <c r="K16" s="4" t="n">
        <v>214</v>
      </c>
      <c r="L16" s="4" t="n">
        <v>5525</v>
      </c>
      <c r="M16" s="4" t="n">
        <f aca="false">SUM(I16:L16)</f>
        <v>7326</v>
      </c>
    </row>
    <row r="17" customFormat="false" ht="15" hidden="false" customHeight="false" outlineLevel="0" collapsed="false">
      <c r="A17" s="4" t="n">
        <v>2020</v>
      </c>
      <c r="B17" s="4" t="n">
        <v>1700</v>
      </c>
      <c r="C17" s="4" t="n">
        <v>1100</v>
      </c>
      <c r="D17" s="4" t="n">
        <v>1400</v>
      </c>
      <c r="E17" s="4" t="n">
        <v>1978</v>
      </c>
      <c r="F17" s="4" t="n">
        <f aca="false">SUM(B17:E17)</f>
        <v>6178</v>
      </c>
      <c r="H17" s="4" t="n">
        <v>2020</v>
      </c>
      <c r="I17" s="4" t="n">
        <v>3200</v>
      </c>
      <c r="J17" s="4" t="n">
        <v>150</v>
      </c>
      <c r="K17" s="4" t="n">
        <v>700</v>
      </c>
      <c r="L17" s="4" t="n">
        <v>2128</v>
      </c>
      <c r="M17" s="4" t="n">
        <f aca="false">SUM(I17:L17)</f>
        <v>6178</v>
      </c>
    </row>
  </sheetData>
  <mergeCells count="5">
    <mergeCell ref="A1:F1"/>
    <mergeCell ref="A3:F3"/>
    <mergeCell ref="H3:L3"/>
    <mergeCell ref="A11:F11"/>
    <mergeCell ref="H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</cols>
  <sheetData>
    <row r="1" customFormat="false" ht="15" hidden="false" customHeight="false" outlineLevel="0" collapsed="false">
      <c r="A1" s="13" t="s">
        <v>105</v>
      </c>
      <c r="B1" s="13"/>
      <c r="C1" s="13"/>
      <c r="D1" s="13"/>
      <c r="E1" s="13"/>
      <c r="F1" s="13"/>
      <c r="G1" s="13"/>
      <c r="H1" s="13"/>
      <c r="I1" s="13"/>
      <c r="J1" s="13"/>
    </row>
    <row r="3" customFormat="false" ht="15" hidden="false" customHeight="false" outlineLevel="0" collapsed="false">
      <c r="A3" s="14" t="s">
        <v>106</v>
      </c>
      <c r="B3" s="14"/>
      <c r="C3" s="14"/>
      <c r="D3" s="14"/>
      <c r="E3" s="14"/>
      <c r="F3" s="14"/>
      <c r="G3" s="14"/>
      <c r="H3" s="14"/>
    </row>
    <row r="4" customFormat="false" ht="15" hidden="false" customHeight="false" outlineLevel="0" collapsed="false">
      <c r="A4" s="6" t="s">
        <v>2</v>
      </c>
      <c r="B4" s="6" t="s">
        <v>107</v>
      </c>
      <c r="C4" s="6" t="s">
        <v>108</v>
      </c>
      <c r="D4" s="6" t="s">
        <v>109</v>
      </c>
      <c r="E4" s="6" t="s">
        <v>27</v>
      </c>
      <c r="F4" s="6" t="s">
        <v>110</v>
      </c>
      <c r="G4" s="6" t="s">
        <v>111</v>
      </c>
      <c r="H4" s="6" t="s">
        <v>112</v>
      </c>
    </row>
    <row r="5" customFormat="false" ht="15" hidden="false" customHeight="false" outlineLevel="0" collapsed="false">
      <c r="A5" s="4" t="n">
        <v>2024</v>
      </c>
      <c r="B5" s="4" t="n">
        <v>53</v>
      </c>
      <c r="C5" s="4" t="n">
        <v>107</v>
      </c>
      <c r="D5" s="4" t="n">
        <v>60</v>
      </c>
      <c r="E5" s="4" t="n">
        <v>220</v>
      </c>
      <c r="F5" s="4" t="n">
        <v>1022</v>
      </c>
      <c r="G5" s="4" t="n">
        <v>228</v>
      </c>
      <c r="H5" s="4" t="n">
        <v>1250</v>
      </c>
    </row>
    <row r="6" customFormat="false" ht="15" hidden="false" customHeight="false" outlineLevel="0" collapsed="false">
      <c r="A6" s="4" t="n">
        <v>2023</v>
      </c>
      <c r="B6" s="4" t="n">
        <v>12</v>
      </c>
      <c r="C6" s="4" t="n">
        <v>169</v>
      </c>
      <c r="D6" s="4" t="n">
        <v>0</v>
      </c>
      <c r="E6" s="4" t="n">
        <v>181</v>
      </c>
      <c r="F6" s="4" t="n">
        <v>1015</v>
      </c>
      <c r="G6" s="4" t="n">
        <v>242</v>
      </c>
      <c r="H6" s="4" t="n">
        <v>1257</v>
      </c>
    </row>
    <row r="7" customFormat="false" ht="15" hidden="false" customHeight="false" outlineLevel="0" collapsed="false">
      <c r="A7" s="4" t="n">
        <v>2022</v>
      </c>
      <c r="B7" s="4" t="n">
        <v>26</v>
      </c>
      <c r="C7" s="4" t="n">
        <v>805</v>
      </c>
      <c r="D7" s="4" t="n">
        <v>0</v>
      </c>
      <c r="E7" s="4" t="n">
        <v>831</v>
      </c>
      <c r="F7" s="4" t="n">
        <v>0</v>
      </c>
      <c r="G7" s="4" t="n">
        <v>215</v>
      </c>
      <c r="H7" s="4" t="n">
        <v>215</v>
      </c>
    </row>
    <row r="8" customFormat="false" ht="15" hidden="false" customHeight="false" outlineLevel="0" collapsed="false">
      <c r="A8" s="4" t="n">
        <v>2021</v>
      </c>
      <c r="B8" s="4" t="n">
        <v>45</v>
      </c>
      <c r="C8" s="4" t="n">
        <v>693</v>
      </c>
      <c r="D8" s="4" t="n">
        <v>0</v>
      </c>
      <c r="E8" s="4" t="n">
        <v>738</v>
      </c>
      <c r="F8" s="4" t="n">
        <v>0</v>
      </c>
      <c r="G8" s="4" t="n">
        <v>240</v>
      </c>
      <c r="H8" s="4" t="n">
        <v>240</v>
      </c>
    </row>
    <row r="9" customFormat="false" ht="15" hidden="false" customHeight="false" outlineLevel="0" collapsed="false">
      <c r="A9" s="4" t="n">
        <v>2020</v>
      </c>
      <c r="B9" s="4" t="n">
        <v>37</v>
      </c>
      <c r="C9" s="4" t="n">
        <v>618</v>
      </c>
      <c r="D9" s="4" t="n">
        <v>0</v>
      </c>
      <c r="E9" s="4" t="n">
        <v>655</v>
      </c>
      <c r="F9" s="4" t="n">
        <v>0</v>
      </c>
      <c r="G9" s="4" t="n">
        <v>243</v>
      </c>
      <c r="H9" s="4" t="n">
        <v>243</v>
      </c>
    </row>
    <row r="11" customFormat="false" ht="12.65" hidden="false" customHeight="false" outlineLevel="0" collapsed="false">
      <c r="A11" s="14" t="s">
        <v>113</v>
      </c>
      <c r="B11" s="14"/>
      <c r="C11" s="14"/>
      <c r="D11" s="14"/>
      <c r="E11" s="14"/>
      <c r="F11" s="14"/>
      <c r="G11" s="14"/>
      <c r="H11" s="14"/>
      <c r="I11" s="14"/>
      <c r="J11" s="14"/>
    </row>
    <row r="12" customFormat="false" ht="15" hidden="false" customHeight="false" outlineLevel="0" collapsed="false">
      <c r="A12" s="6" t="s">
        <v>2</v>
      </c>
      <c r="B12" s="6" t="s">
        <v>114</v>
      </c>
      <c r="C12" s="6" t="s">
        <v>3</v>
      </c>
      <c r="D12" s="6" t="s">
        <v>5</v>
      </c>
      <c r="E12" s="6" t="s">
        <v>115</v>
      </c>
      <c r="F12" s="6" t="s">
        <v>116</v>
      </c>
      <c r="G12" s="6" t="s">
        <v>6</v>
      </c>
      <c r="H12" s="6" t="s">
        <v>117</v>
      </c>
      <c r="I12" s="6" t="s">
        <v>118</v>
      </c>
      <c r="J12" s="6" t="s">
        <v>119</v>
      </c>
    </row>
    <row r="13" customFormat="false" ht="15" hidden="false" customHeight="false" outlineLevel="0" collapsed="false">
      <c r="A13" s="4" t="n">
        <v>2024</v>
      </c>
      <c r="B13" s="4" t="n">
        <v>220</v>
      </c>
      <c r="C13" s="4" t="n">
        <v>57</v>
      </c>
      <c r="D13" s="4" t="n">
        <v>104</v>
      </c>
      <c r="E13" s="4" t="n">
        <v>253</v>
      </c>
      <c r="F13" s="4" t="n">
        <v>0.73</v>
      </c>
      <c r="G13" s="4" t="n">
        <v>54.81</v>
      </c>
      <c r="H13" s="4" t="n">
        <v>4.75</v>
      </c>
      <c r="I13" s="4" t="n">
        <v>8.67</v>
      </c>
      <c r="J13" s="4" t="n">
        <v>109.7</v>
      </c>
    </row>
    <row r="14" customFormat="false" ht="15" hidden="false" customHeight="false" outlineLevel="0" collapsed="false">
      <c r="A14" s="4" t="n">
        <v>2023</v>
      </c>
      <c r="B14" s="4" t="n">
        <v>181</v>
      </c>
      <c r="C14" s="4" t="n">
        <v>53</v>
      </c>
      <c r="D14" s="4" t="n">
        <v>51</v>
      </c>
      <c r="E14" s="4" t="n">
        <v>251.1</v>
      </c>
      <c r="F14" s="4" t="n">
        <v>0.57</v>
      </c>
      <c r="G14" s="4" t="n">
        <v>103.92</v>
      </c>
      <c r="H14" s="4" t="n">
        <v>4.42</v>
      </c>
      <c r="I14" s="4" t="n">
        <v>4.25</v>
      </c>
      <c r="J14" s="4" t="n">
        <v>56.3</v>
      </c>
    </row>
    <row r="15" customFormat="false" ht="15" hidden="false" customHeight="false" outlineLevel="0" collapsed="false">
      <c r="A15" s="4" t="n">
        <v>2022</v>
      </c>
      <c r="B15" s="4" t="n">
        <v>831</v>
      </c>
      <c r="C15" s="4" t="n">
        <v>407</v>
      </c>
      <c r="D15" s="4" t="n">
        <v>338</v>
      </c>
      <c r="E15" s="4" t="n">
        <v>389.3</v>
      </c>
      <c r="F15" s="4" t="n">
        <v>0.9</v>
      </c>
      <c r="G15" s="4" t="n">
        <v>120.41</v>
      </c>
      <c r="H15" s="4" t="n">
        <v>33.92</v>
      </c>
      <c r="I15" s="4" t="n">
        <v>28.17</v>
      </c>
      <c r="J15" s="4" t="n">
        <v>378.7</v>
      </c>
    </row>
    <row r="16" customFormat="false" ht="15" hidden="false" customHeight="false" outlineLevel="0" collapsed="false">
      <c r="A16" s="4" t="n">
        <v>2021</v>
      </c>
      <c r="B16" s="4" t="n">
        <v>738</v>
      </c>
      <c r="C16" s="4" t="n">
        <v>399</v>
      </c>
      <c r="D16" s="4" t="n">
        <v>531</v>
      </c>
      <c r="E16" s="4" t="n">
        <v>253.7</v>
      </c>
      <c r="F16" s="4" t="n">
        <v>1.26</v>
      </c>
      <c r="G16" s="4" t="n">
        <v>75.14</v>
      </c>
      <c r="H16" s="4" t="n">
        <v>33.25</v>
      </c>
      <c r="I16" s="4" t="n">
        <v>44.25</v>
      </c>
      <c r="J16" s="4" t="n">
        <v>452.1</v>
      </c>
    </row>
    <row r="17" customFormat="false" ht="15" hidden="false" customHeight="false" outlineLevel="0" collapsed="false">
      <c r="A17" s="4" t="n">
        <v>2020</v>
      </c>
      <c r="B17" s="4" t="n">
        <v>655</v>
      </c>
      <c r="C17" s="4" t="n">
        <v>289</v>
      </c>
      <c r="D17" s="4" t="n">
        <v>285</v>
      </c>
      <c r="E17" s="4" t="n">
        <v>220</v>
      </c>
      <c r="F17" s="4" t="n">
        <v>0.88</v>
      </c>
      <c r="G17" s="4" t="n">
        <v>101.4</v>
      </c>
      <c r="H17" s="4" t="n">
        <v>24.08</v>
      </c>
      <c r="I17" s="4" t="n">
        <v>23.75</v>
      </c>
      <c r="J17" s="4" t="n">
        <v>317.5</v>
      </c>
    </row>
  </sheetData>
  <mergeCells count="3">
    <mergeCell ref="A1:J1"/>
    <mergeCell ref="A3:H3"/>
    <mergeCell ref="A11:J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7" t="s">
        <v>120</v>
      </c>
      <c r="B1" s="7"/>
      <c r="C1" s="7"/>
      <c r="D1" s="7"/>
      <c r="E1" s="7"/>
      <c r="F1" s="7"/>
      <c r="G1" s="7"/>
      <c r="H1" s="7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121</v>
      </c>
      <c r="D3" s="11" t="s">
        <v>122</v>
      </c>
      <c r="E3" s="11" t="s">
        <v>35</v>
      </c>
      <c r="F3" s="11" t="s">
        <v>123</v>
      </c>
      <c r="G3" s="11" t="s">
        <v>124</v>
      </c>
    </row>
    <row r="4" customFormat="false" ht="15" hidden="false" customHeight="false" outlineLevel="0" collapsed="false">
      <c r="A4" s="12" t="s">
        <v>125</v>
      </c>
      <c r="B4" s="12" t="s">
        <v>126</v>
      </c>
      <c r="C4" s="12" t="n">
        <v>160</v>
      </c>
      <c r="D4" s="12" t="n">
        <v>311</v>
      </c>
      <c r="E4" s="12" t="n">
        <v>10338508</v>
      </c>
      <c r="F4" s="12" t="n">
        <v>1.55</v>
      </c>
      <c r="G4" s="12" t="n">
        <v>0.75</v>
      </c>
    </row>
    <row r="5" customFormat="false" ht="15" hidden="false" customHeight="false" outlineLevel="0" collapsed="false">
      <c r="A5" s="4" t="s">
        <v>127</v>
      </c>
      <c r="B5" s="4" t="s">
        <v>128</v>
      </c>
      <c r="C5" s="4" t="n">
        <v>60</v>
      </c>
      <c r="D5" s="4" t="n">
        <v>126</v>
      </c>
      <c r="E5" s="4" t="n">
        <v>5593569</v>
      </c>
      <c r="F5" s="4" t="n">
        <v>1.07</v>
      </c>
      <c r="G5" s="4" t="n">
        <v>0.56</v>
      </c>
    </row>
    <row r="6" customFormat="false" ht="15" hidden="false" customHeight="false" outlineLevel="0" collapsed="false">
      <c r="A6" s="12" t="s">
        <v>129</v>
      </c>
      <c r="B6" s="12" t="s">
        <v>130</v>
      </c>
      <c r="C6" s="12" t="n">
        <v>22</v>
      </c>
      <c r="D6" s="12" t="n">
        <v>52</v>
      </c>
      <c r="E6" s="12" t="n">
        <v>795912</v>
      </c>
      <c r="F6" s="12" t="n">
        <v>2.76</v>
      </c>
      <c r="G6" s="12" t="n">
        <v>1.63</v>
      </c>
    </row>
    <row r="7" customFormat="false" ht="15" hidden="false" customHeight="false" outlineLevel="0" collapsed="false">
      <c r="A7" s="4" t="s">
        <v>40</v>
      </c>
      <c r="B7" s="4" t="s">
        <v>41</v>
      </c>
      <c r="C7" s="4" t="n">
        <v>41</v>
      </c>
      <c r="D7" s="4" t="n">
        <v>84</v>
      </c>
      <c r="E7" s="4" t="n">
        <v>800691</v>
      </c>
      <c r="F7" s="4" t="n">
        <v>5.12</v>
      </c>
      <c r="G7" s="4" t="n">
        <v>2.62</v>
      </c>
    </row>
    <row r="8" customFormat="false" ht="15" hidden="false" customHeight="false" outlineLevel="0" collapsed="false">
      <c r="A8" s="12" t="s">
        <v>43</v>
      </c>
      <c r="B8" s="12" t="s">
        <v>44</v>
      </c>
      <c r="C8" s="12" t="n">
        <v>41</v>
      </c>
      <c r="D8" s="12" t="n">
        <v>94</v>
      </c>
      <c r="E8" s="12" t="n">
        <v>1632468</v>
      </c>
      <c r="F8" s="12" t="n">
        <v>2.51</v>
      </c>
      <c r="G8" s="12" t="n">
        <v>1.44</v>
      </c>
    </row>
    <row r="9" customFormat="false" ht="15" hidden="false" customHeight="false" outlineLevel="0" collapsed="false">
      <c r="A9" s="4" t="s">
        <v>131</v>
      </c>
      <c r="B9" s="4" t="s">
        <v>132</v>
      </c>
      <c r="C9" s="4" t="n">
        <v>88</v>
      </c>
      <c r="D9" s="4" t="n">
        <v>130</v>
      </c>
      <c r="E9" s="4" t="n">
        <v>7117955</v>
      </c>
      <c r="F9" s="4" t="n">
        <v>1.24</v>
      </c>
      <c r="G9" s="4" t="n">
        <v>0.46</v>
      </c>
    </row>
    <row r="10" customFormat="false" ht="15" hidden="false" customHeight="false" outlineLevel="0" collapsed="false">
      <c r="A10" s="12" t="s">
        <v>133</v>
      </c>
      <c r="B10" s="12" t="s">
        <v>134</v>
      </c>
      <c r="C10" s="12" t="n">
        <v>102</v>
      </c>
      <c r="D10" s="12" t="n">
        <v>181</v>
      </c>
      <c r="E10" s="12" t="n">
        <v>8007934</v>
      </c>
      <c r="F10" s="12" t="n">
        <v>1.27</v>
      </c>
      <c r="G10" s="12" t="n">
        <v>0.57</v>
      </c>
    </row>
    <row r="11" customFormat="false" ht="15" hidden="false" customHeight="false" outlineLevel="0" collapsed="false">
      <c r="A11" s="4" t="s">
        <v>135</v>
      </c>
      <c r="B11" s="4" t="s">
        <v>136</v>
      </c>
      <c r="C11" s="4" t="n">
        <v>70</v>
      </c>
      <c r="D11" s="4" t="n">
        <v>112</v>
      </c>
      <c r="E11" s="4" t="n">
        <v>6206308</v>
      </c>
      <c r="F11" s="4" t="n">
        <v>1.13</v>
      </c>
      <c r="G11" s="4" t="n">
        <v>0.45</v>
      </c>
    </row>
    <row r="12" customFormat="false" ht="15" hidden="false" customHeight="false" outlineLevel="0" collapsed="false">
      <c r="A12" s="12" t="s">
        <v>137</v>
      </c>
      <c r="B12" s="12" t="s">
        <v>138</v>
      </c>
      <c r="C12" s="12" t="n">
        <v>51</v>
      </c>
      <c r="D12" s="12" t="n">
        <v>91</v>
      </c>
      <c r="E12" s="12" t="n">
        <v>3761518</v>
      </c>
      <c r="F12" s="12" t="n">
        <v>1.36</v>
      </c>
      <c r="G12" s="12" t="n">
        <v>0.6</v>
      </c>
    </row>
    <row r="13" customFormat="false" ht="15" hidden="false" customHeight="false" outlineLevel="0" collapsed="false">
      <c r="A13" s="4" t="s">
        <v>139</v>
      </c>
      <c r="B13" s="4" t="s">
        <v>140</v>
      </c>
      <c r="C13" s="4" t="n">
        <v>66</v>
      </c>
      <c r="D13" s="4" t="n">
        <v>124</v>
      </c>
      <c r="E13" s="4" t="n">
        <v>5492912</v>
      </c>
      <c r="F13" s="4" t="n">
        <v>1.2</v>
      </c>
      <c r="G13" s="4" t="n">
        <v>0.56</v>
      </c>
    </row>
    <row r="14" customFormat="false" ht="15" hidden="false" customHeight="false" outlineLevel="0" collapsed="false">
      <c r="A14" s="12" t="s">
        <v>141</v>
      </c>
      <c r="B14" s="12" t="s">
        <v>142</v>
      </c>
      <c r="C14" s="12" t="n">
        <v>66</v>
      </c>
      <c r="D14" s="12" t="n">
        <v>110</v>
      </c>
      <c r="E14" s="12" t="n">
        <v>4793640</v>
      </c>
      <c r="F14" s="12" t="n">
        <v>1.38</v>
      </c>
      <c r="G14" s="12" t="n">
        <v>0.57</v>
      </c>
    </row>
    <row r="15" customFormat="false" ht="15" hidden="false" customHeight="false" outlineLevel="0" collapsed="false">
      <c r="A15" s="4" t="s">
        <v>143</v>
      </c>
      <c r="B15" s="4" t="s">
        <v>144</v>
      </c>
      <c r="C15" s="4" t="n">
        <v>92</v>
      </c>
      <c r="D15" s="4" t="n">
        <v>140</v>
      </c>
      <c r="E15" s="4" t="n">
        <v>6970866</v>
      </c>
      <c r="F15" s="4" t="n">
        <v>1.32</v>
      </c>
      <c r="G15" s="4" t="n">
        <v>0.5</v>
      </c>
    </row>
    <row r="16" customFormat="false" ht="15" hidden="false" customHeight="false" outlineLevel="0" collapsed="false">
      <c r="A16" s="12" t="s">
        <v>145</v>
      </c>
      <c r="B16" s="12" t="s">
        <v>146</v>
      </c>
      <c r="C16" s="12" t="n">
        <v>56</v>
      </c>
      <c r="D16" s="12" t="n">
        <v>114</v>
      </c>
      <c r="E16" s="12" t="n">
        <v>1472907</v>
      </c>
      <c r="F16" s="12" t="n">
        <v>3.8</v>
      </c>
      <c r="G16" s="12" t="n">
        <v>1.93</v>
      </c>
    </row>
    <row r="17" customFormat="false" ht="15" hidden="false" customHeight="false" outlineLevel="0" collapsed="false">
      <c r="A17" s="4" t="s">
        <v>147</v>
      </c>
      <c r="B17" s="4" t="s">
        <v>148</v>
      </c>
      <c r="C17" s="4" t="n">
        <v>111</v>
      </c>
      <c r="D17" s="4" t="n">
        <v>216</v>
      </c>
      <c r="E17" s="4" t="n">
        <v>9634563</v>
      </c>
      <c r="F17" s="4" t="n">
        <v>1.15</v>
      </c>
      <c r="G17" s="4" t="n">
        <v>0.56</v>
      </c>
    </row>
    <row r="18" customFormat="false" ht="15" hidden="false" customHeight="false" outlineLevel="0" collapsed="false">
      <c r="A18" s="12" t="s">
        <v>53</v>
      </c>
      <c r="B18" s="12" t="s">
        <v>54</v>
      </c>
      <c r="C18" s="12" t="n">
        <v>54</v>
      </c>
      <c r="D18" s="12" t="n">
        <v>96</v>
      </c>
      <c r="E18" s="12" t="n">
        <v>3653029</v>
      </c>
      <c r="F18" s="12" t="n">
        <v>1.48</v>
      </c>
      <c r="G18" s="12" t="n">
        <v>0.66</v>
      </c>
    </row>
    <row r="19" customFormat="false" ht="15" hidden="false" customHeight="false" outlineLevel="0" collapsed="false">
      <c r="A19" s="4" t="s">
        <v>55</v>
      </c>
      <c r="B19" s="4" t="s">
        <v>56</v>
      </c>
      <c r="C19" s="4" t="n">
        <v>60</v>
      </c>
      <c r="D19" s="4" t="n">
        <v>86</v>
      </c>
      <c r="E19" s="4" t="n">
        <v>4147360</v>
      </c>
      <c r="F19" s="4" t="n">
        <v>1.45</v>
      </c>
      <c r="G19" s="4" t="n">
        <v>0.52</v>
      </c>
    </row>
    <row r="20" customFormat="false" ht="15" hidden="false" customHeight="false" outlineLevel="0" collapsed="false">
      <c r="A20" s="12" t="s">
        <v>57</v>
      </c>
      <c r="B20" s="12" t="s">
        <v>58</v>
      </c>
      <c r="C20" s="12" t="n">
        <v>61</v>
      </c>
      <c r="D20" s="12" t="n">
        <v>115</v>
      </c>
      <c r="E20" s="12" t="n">
        <v>6452807</v>
      </c>
      <c r="F20" s="12" t="n">
        <v>0.95</v>
      </c>
      <c r="G20" s="12" t="n">
        <v>0.45</v>
      </c>
    </row>
    <row r="21" customFormat="false" ht="15" hidden="false" customHeight="false" outlineLevel="0" collapsed="false">
      <c r="A21" s="4" t="s">
        <v>149</v>
      </c>
      <c r="B21" s="4" t="s">
        <v>150</v>
      </c>
      <c r="C21" s="4" t="n">
        <v>68</v>
      </c>
      <c r="D21" s="4" t="n">
        <v>128</v>
      </c>
      <c r="E21" s="4" t="n">
        <v>5158015</v>
      </c>
      <c r="F21" s="4" t="n">
        <v>1.32</v>
      </c>
      <c r="G21" s="4" t="n">
        <v>0.62</v>
      </c>
    </row>
    <row r="22" customFormat="false" ht="15" hidden="false" customHeight="false" outlineLevel="0" collapsed="false">
      <c r="A22" s="12" t="s">
        <v>60</v>
      </c>
      <c r="B22" s="12" t="s">
        <v>61</v>
      </c>
      <c r="C22" s="12" t="n">
        <v>62</v>
      </c>
      <c r="D22" s="12" t="n">
        <v>117</v>
      </c>
      <c r="E22" s="12" t="n">
        <v>5834314</v>
      </c>
      <c r="F22" s="12" t="n">
        <v>1.06</v>
      </c>
      <c r="G22" s="12" t="n">
        <v>0.5</v>
      </c>
    </row>
    <row r="23" customFormat="false" ht="15" hidden="false" customHeight="false" outlineLevel="0" collapsed="false">
      <c r="A23" s="4" t="s">
        <v>62</v>
      </c>
      <c r="B23" s="4" t="s">
        <v>63</v>
      </c>
      <c r="C23" s="4" t="n">
        <v>66</v>
      </c>
      <c r="D23" s="4" t="n">
        <v>104</v>
      </c>
      <c r="E23" s="4" t="n">
        <v>3704483</v>
      </c>
      <c r="F23" s="4" t="n">
        <v>1.78</v>
      </c>
      <c r="G23" s="4" t="n">
        <v>0.7</v>
      </c>
    </row>
    <row r="24" customFormat="false" ht="15" hidden="false" customHeight="false" outlineLevel="0" collapsed="false">
      <c r="A24" s="12" t="s">
        <v>151</v>
      </c>
      <c r="B24" s="12" t="s">
        <v>152</v>
      </c>
      <c r="C24" s="12" t="n">
        <v>56</v>
      </c>
      <c r="D24" s="12" t="n">
        <v>124</v>
      </c>
      <c r="E24" s="12" t="n">
        <v>1681130</v>
      </c>
      <c r="F24" s="12" t="n">
        <v>3.33</v>
      </c>
      <c r="G24" s="12" t="n">
        <v>1.84</v>
      </c>
    </row>
    <row r="25" customFormat="false" ht="15" hidden="false" customHeight="false" outlineLevel="0" collapsed="false">
      <c r="A25" s="4" t="s">
        <v>153</v>
      </c>
      <c r="B25" s="4" t="s">
        <v>154</v>
      </c>
      <c r="C25" s="4" t="n">
        <v>43</v>
      </c>
      <c r="D25" s="4" t="n">
        <v>86</v>
      </c>
      <c r="E25" s="4" t="n">
        <v>1423279</v>
      </c>
      <c r="F25" s="4" t="n">
        <v>3.02</v>
      </c>
      <c r="G25" s="4" t="n">
        <v>1.51</v>
      </c>
    </row>
    <row r="26" customFormat="false" ht="15" hidden="false" customHeight="false" outlineLevel="0" collapsed="false">
      <c r="A26" s="12" t="s">
        <v>65</v>
      </c>
      <c r="B26" s="12" t="s">
        <v>66</v>
      </c>
      <c r="C26" s="12" t="n">
        <v>52</v>
      </c>
      <c r="D26" s="12" t="n">
        <v>108</v>
      </c>
      <c r="E26" s="12" t="n">
        <v>409968</v>
      </c>
      <c r="F26" s="12" t="n">
        <v>12.68</v>
      </c>
      <c r="G26" s="12" t="n">
        <v>6.59</v>
      </c>
    </row>
    <row r="27" customFormat="false" ht="15" hidden="false" customHeight="false" outlineLevel="0" collapsed="false">
      <c r="A27" s="4" t="s">
        <v>67</v>
      </c>
      <c r="B27" s="4" t="s">
        <v>68</v>
      </c>
      <c r="C27" s="4" t="n">
        <v>57</v>
      </c>
      <c r="D27" s="4" t="n">
        <v>91</v>
      </c>
      <c r="E27" s="4" t="n">
        <v>270835</v>
      </c>
      <c r="F27" s="4" t="n">
        <v>21.05</v>
      </c>
      <c r="G27" s="4" t="n">
        <v>8.4</v>
      </c>
    </row>
    <row r="28" customFormat="false" ht="15" hidden="false" customHeight="false" outlineLevel="0" collapsed="false">
      <c r="A28" s="12" t="s">
        <v>69</v>
      </c>
      <c r="B28" s="12" t="s">
        <v>70</v>
      </c>
      <c r="C28" s="12" t="n">
        <v>65</v>
      </c>
      <c r="D28" s="12" t="n">
        <v>128</v>
      </c>
      <c r="E28" s="12" t="n">
        <v>566280</v>
      </c>
      <c r="F28" s="12" t="n">
        <v>11.48</v>
      </c>
      <c r="G28" s="12" t="n">
        <v>5.65</v>
      </c>
    </row>
    <row r="29" customFormat="false" ht="15" hidden="false" customHeight="false" outlineLevel="0" collapsed="false">
      <c r="A29" s="4" t="s">
        <v>71</v>
      </c>
      <c r="B29" s="4" t="s">
        <v>72</v>
      </c>
      <c r="C29" s="4" t="n">
        <v>51</v>
      </c>
      <c r="D29" s="4" t="n">
        <v>109</v>
      </c>
      <c r="E29" s="4" t="n">
        <v>516264</v>
      </c>
      <c r="F29" s="4" t="n">
        <v>9.88</v>
      </c>
      <c r="G29" s="4" t="n">
        <v>5.28</v>
      </c>
    </row>
    <row r="30" customFormat="false" ht="15" hidden="false" customHeight="false" outlineLevel="0" collapsed="false">
      <c r="A30" s="12" t="s">
        <v>73</v>
      </c>
      <c r="B30" s="12" t="s">
        <v>74</v>
      </c>
      <c r="C30" s="12" t="n">
        <v>46</v>
      </c>
      <c r="D30" s="12" t="n">
        <v>86</v>
      </c>
      <c r="E30" s="12" t="n">
        <v>118659</v>
      </c>
      <c r="F30" s="12" t="n">
        <v>38.77</v>
      </c>
      <c r="G30" s="12" t="n">
        <v>18.12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5" t="s">
        <v>155</v>
      </c>
      <c r="B1" s="15"/>
      <c r="C1" s="15"/>
      <c r="D1" s="15"/>
    </row>
    <row r="3" customFormat="false" ht="15" hidden="false" customHeight="false" outlineLevel="0" collapsed="false">
      <c r="A3" s="16" t="s">
        <v>156</v>
      </c>
      <c r="B3" s="16" t="s">
        <v>157</v>
      </c>
      <c r="C3" s="16" t="s">
        <v>30</v>
      </c>
      <c r="D3" s="16" t="s">
        <v>158</v>
      </c>
    </row>
    <row r="4" customFormat="false" ht="30" hidden="false" customHeight="true" outlineLevel="0" collapsed="false">
      <c r="A4" s="17" t="n">
        <v>1</v>
      </c>
      <c r="B4" s="17" t="s">
        <v>159</v>
      </c>
      <c r="C4" s="17" t="s">
        <v>125</v>
      </c>
      <c r="D4" s="18" t="s">
        <v>160</v>
      </c>
    </row>
    <row r="5" customFormat="false" ht="30" hidden="false" customHeight="true" outlineLevel="0" collapsed="false">
      <c r="A5" s="4"/>
      <c r="B5" s="4" t="s">
        <v>159</v>
      </c>
      <c r="C5" s="4" t="s">
        <v>40</v>
      </c>
      <c r="D5" s="19" t="s">
        <v>161</v>
      </c>
    </row>
    <row r="6" customFormat="false" ht="30" hidden="false" customHeight="true" outlineLevel="0" collapsed="false">
      <c r="A6" s="17" t="n">
        <v>2</v>
      </c>
      <c r="B6" s="17" t="s">
        <v>162</v>
      </c>
      <c r="C6" s="17" t="s">
        <v>125</v>
      </c>
      <c r="D6" s="18" t="s">
        <v>163</v>
      </c>
    </row>
    <row r="7" customFormat="false" ht="30" hidden="false" customHeight="true" outlineLevel="0" collapsed="false">
      <c r="A7" s="4"/>
      <c r="B7" s="4" t="s">
        <v>162</v>
      </c>
      <c r="C7" s="4" t="s">
        <v>164</v>
      </c>
      <c r="D7" s="19" t="s">
        <v>165</v>
      </c>
    </row>
    <row r="8" customFormat="false" ht="30" hidden="false" customHeight="true" outlineLevel="0" collapsed="false">
      <c r="A8" s="17"/>
      <c r="B8" s="17" t="s">
        <v>162</v>
      </c>
      <c r="C8" s="17" t="s">
        <v>166</v>
      </c>
      <c r="D8" s="18" t="s">
        <v>167</v>
      </c>
    </row>
    <row r="9" customFormat="false" ht="30" hidden="false" customHeight="true" outlineLevel="0" collapsed="false">
      <c r="A9" s="4"/>
      <c r="B9" s="4" t="s">
        <v>162</v>
      </c>
      <c r="C9" s="4" t="s">
        <v>168</v>
      </c>
      <c r="D9" s="19" t="s">
        <v>169</v>
      </c>
    </row>
    <row r="10" customFormat="false" ht="30" hidden="false" customHeight="true" outlineLevel="0" collapsed="false">
      <c r="A10" s="17" t="n">
        <v>3</v>
      </c>
      <c r="B10" s="17" t="s">
        <v>170</v>
      </c>
      <c r="C10" s="17" t="s">
        <v>164</v>
      </c>
      <c r="D10" s="18" t="s">
        <v>171</v>
      </c>
    </row>
    <row r="11" customFormat="false" ht="30" hidden="false" customHeight="true" outlineLevel="0" collapsed="false">
      <c r="A11" s="4"/>
      <c r="B11" s="4" t="s">
        <v>170</v>
      </c>
      <c r="C11" s="4" t="s">
        <v>172</v>
      </c>
      <c r="D11" s="19" t="s">
        <v>173</v>
      </c>
    </row>
    <row r="12" customFormat="false" ht="30" hidden="false" customHeight="true" outlineLevel="0" collapsed="false">
      <c r="A12" s="17"/>
      <c r="B12" s="17" t="s">
        <v>170</v>
      </c>
      <c r="C12" s="17" t="s">
        <v>139</v>
      </c>
      <c r="D12" s="18" t="s">
        <v>174</v>
      </c>
    </row>
    <row r="13" customFormat="false" ht="30" hidden="false" customHeight="true" outlineLevel="0" collapsed="false">
      <c r="A13" s="4"/>
      <c r="B13" s="4" t="s">
        <v>170</v>
      </c>
      <c r="C13" s="4" t="s">
        <v>143</v>
      </c>
      <c r="D13" s="19" t="s">
        <v>175</v>
      </c>
    </row>
    <row r="14" customFormat="false" ht="30" hidden="false" customHeight="true" outlineLevel="0" collapsed="false">
      <c r="A14" s="17"/>
      <c r="B14" s="17" t="s">
        <v>170</v>
      </c>
      <c r="C14" s="17" t="s">
        <v>176</v>
      </c>
      <c r="D14" s="18" t="s">
        <v>177</v>
      </c>
    </row>
    <row r="15" customFormat="false" ht="30" hidden="false" customHeight="true" outlineLevel="0" collapsed="false">
      <c r="A15" s="4" t="n">
        <v>4</v>
      </c>
      <c r="B15" s="4" t="s">
        <v>178</v>
      </c>
      <c r="C15" s="4" t="s">
        <v>179</v>
      </c>
      <c r="D15" s="19" t="s">
        <v>180</v>
      </c>
    </row>
    <row r="16" customFormat="false" ht="30" hidden="false" customHeight="true" outlineLevel="0" collapsed="false">
      <c r="A16" s="17"/>
      <c r="B16" s="17" t="s">
        <v>178</v>
      </c>
      <c r="C16" s="17" t="s">
        <v>143</v>
      </c>
      <c r="D16" s="18" t="s">
        <v>181</v>
      </c>
    </row>
    <row r="17" customFormat="false" ht="30" hidden="false" customHeight="true" outlineLevel="0" collapsed="false">
      <c r="A17" s="4"/>
      <c r="B17" s="4" t="s">
        <v>178</v>
      </c>
      <c r="C17" s="4" t="s">
        <v>176</v>
      </c>
      <c r="D17" s="19" t="s">
        <v>182</v>
      </c>
    </row>
    <row r="18" customFormat="false" ht="30" hidden="false" customHeight="true" outlineLevel="0" collapsed="false">
      <c r="A18" s="17" t="n">
        <v>5</v>
      </c>
      <c r="B18" s="17" t="s">
        <v>183</v>
      </c>
      <c r="C18" s="17" t="s">
        <v>164</v>
      </c>
      <c r="D18" s="18" t="s">
        <v>184</v>
      </c>
    </row>
    <row r="19" customFormat="false" ht="30" hidden="false" customHeight="true" outlineLevel="0" collapsed="false">
      <c r="A19" s="4"/>
      <c r="B19" s="4" t="s">
        <v>183</v>
      </c>
      <c r="C19" s="4" t="s">
        <v>166</v>
      </c>
      <c r="D19" s="19" t="s">
        <v>185</v>
      </c>
    </row>
    <row r="20" customFormat="false" ht="30" hidden="false" customHeight="true" outlineLevel="0" collapsed="false">
      <c r="A20" s="17" t="n">
        <v>6</v>
      </c>
      <c r="B20" s="17" t="s">
        <v>186</v>
      </c>
      <c r="C20" s="17" t="s">
        <v>179</v>
      </c>
      <c r="D20" s="18" t="s">
        <v>187</v>
      </c>
    </row>
    <row r="21" customFormat="false" ht="30" hidden="false" customHeight="true" outlineLevel="0" collapsed="false">
      <c r="A21" s="4"/>
      <c r="B21" s="4" t="s">
        <v>186</v>
      </c>
      <c r="C21" s="4" t="s">
        <v>55</v>
      </c>
      <c r="D21" s="19" t="s">
        <v>188</v>
      </c>
    </row>
    <row r="22" customFormat="false" ht="30" hidden="false" customHeight="true" outlineLevel="0" collapsed="false">
      <c r="A22" s="17" t="n">
        <v>7</v>
      </c>
      <c r="B22" s="17" t="s">
        <v>189</v>
      </c>
      <c r="C22" s="17" t="s">
        <v>179</v>
      </c>
      <c r="D22" s="18" t="s">
        <v>190</v>
      </c>
    </row>
    <row r="23" customFormat="false" ht="30" hidden="false" customHeight="true" outlineLevel="0" collapsed="false">
      <c r="A23" s="4"/>
      <c r="B23" s="4" t="s">
        <v>189</v>
      </c>
      <c r="C23" s="4" t="s">
        <v>55</v>
      </c>
      <c r="D23" s="19" t="s">
        <v>191</v>
      </c>
    </row>
    <row r="24" customFormat="false" ht="30" hidden="false" customHeight="true" outlineLevel="0" collapsed="false">
      <c r="A24" s="17"/>
      <c r="B24" s="17" t="s">
        <v>189</v>
      </c>
      <c r="C24" s="17" t="s">
        <v>53</v>
      </c>
      <c r="D24" s="18" t="s">
        <v>192</v>
      </c>
    </row>
    <row r="25" customFormat="false" ht="30" hidden="false" customHeight="true" outlineLevel="0" collapsed="false">
      <c r="A25" s="4"/>
      <c r="B25" s="4" t="s">
        <v>189</v>
      </c>
      <c r="C25" s="4" t="s">
        <v>57</v>
      </c>
      <c r="D25" s="19" t="s">
        <v>193</v>
      </c>
    </row>
    <row r="26" customFormat="false" ht="30" hidden="false" customHeight="true" outlineLevel="0" collapsed="false">
      <c r="A26" s="17"/>
      <c r="B26" s="17" t="s">
        <v>189</v>
      </c>
      <c r="C26" s="17" t="s">
        <v>149</v>
      </c>
      <c r="D26" s="18" t="s">
        <v>194</v>
      </c>
    </row>
    <row r="27" customFormat="false" ht="30" hidden="false" customHeight="true" outlineLevel="0" collapsed="false">
      <c r="A27" s="4"/>
      <c r="B27" s="4" t="s">
        <v>189</v>
      </c>
      <c r="C27" s="4" t="s">
        <v>60</v>
      </c>
      <c r="D27" s="19" t="s">
        <v>195</v>
      </c>
    </row>
    <row r="28" customFormat="false" ht="30" hidden="false" customHeight="true" outlineLevel="0" collapsed="false">
      <c r="A28" s="17"/>
      <c r="B28" s="17" t="s">
        <v>189</v>
      </c>
      <c r="C28" s="17" t="s">
        <v>62</v>
      </c>
      <c r="D28" s="18" t="s">
        <v>196</v>
      </c>
    </row>
    <row r="29" customFormat="false" ht="30" hidden="false" customHeight="true" outlineLevel="0" collapsed="false">
      <c r="A29" s="4"/>
      <c r="B29" s="4" t="s">
        <v>189</v>
      </c>
      <c r="C29" s="4" t="s">
        <v>151</v>
      </c>
      <c r="D29" s="19" t="s">
        <v>197</v>
      </c>
    </row>
    <row r="30" customFormat="false" ht="30" hidden="false" customHeight="true" outlineLevel="0" collapsed="false">
      <c r="A30" s="17" t="n">
        <v>8</v>
      </c>
      <c r="B30" s="17" t="s">
        <v>198</v>
      </c>
      <c r="C30" s="17" t="s">
        <v>179</v>
      </c>
      <c r="D30" s="18" t="s">
        <v>199</v>
      </c>
    </row>
    <row r="31" customFormat="false" ht="30" hidden="false" customHeight="true" outlineLevel="0" collapsed="false">
      <c r="A31" s="4"/>
      <c r="B31" s="4" t="s">
        <v>198</v>
      </c>
      <c r="C31" s="4" t="s">
        <v>57</v>
      </c>
      <c r="D31" s="19" t="s">
        <v>200</v>
      </c>
    </row>
    <row r="32" customFormat="false" ht="30" hidden="false" customHeight="true" outlineLevel="0" collapsed="false">
      <c r="A32" s="17"/>
      <c r="B32" s="17" t="s">
        <v>198</v>
      </c>
      <c r="C32" s="17" t="s">
        <v>149</v>
      </c>
      <c r="D32" s="18" t="s">
        <v>201</v>
      </c>
    </row>
    <row r="33" customFormat="false" ht="30" hidden="false" customHeight="true" outlineLevel="0" collapsed="false">
      <c r="A33" s="4"/>
      <c r="B33" s="4" t="s">
        <v>198</v>
      </c>
      <c r="C33" s="4" t="s">
        <v>202</v>
      </c>
      <c r="D33" s="19" t="s">
        <v>203</v>
      </c>
    </row>
    <row r="34" customFormat="false" ht="30" hidden="false" customHeight="true" outlineLevel="0" collapsed="false">
      <c r="A34" s="17"/>
      <c r="B34" s="17" t="s">
        <v>198</v>
      </c>
      <c r="C34" s="17" t="s">
        <v>60</v>
      </c>
      <c r="D34" s="18" t="s">
        <v>204</v>
      </c>
    </row>
    <row r="35" customFormat="false" ht="30" hidden="false" customHeight="true" outlineLevel="0" collapsed="false">
      <c r="A35" s="4"/>
      <c r="B35" s="4" t="s">
        <v>198</v>
      </c>
      <c r="C35" s="4" t="s">
        <v>62</v>
      </c>
      <c r="D35" s="19" t="s">
        <v>205</v>
      </c>
    </row>
    <row r="36" customFormat="false" ht="30" hidden="false" customHeight="true" outlineLevel="0" collapsed="false">
      <c r="A36" s="17" t="n">
        <v>9</v>
      </c>
      <c r="B36" s="17" t="s">
        <v>206</v>
      </c>
      <c r="C36" s="17" t="s">
        <v>179</v>
      </c>
      <c r="D36" s="18" t="s">
        <v>207</v>
      </c>
    </row>
    <row r="37" customFormat="false" ht="30" hidden="false" customHeight="true" outlineLevel="0" collapsed="false">
      <c r="A37" s="4"/>
      <c r="B37" s="4" t="s">
        <v>206</v>
      </c>
      <c r="C37" s="4" t="s">
        <v>57</v>
      </c>
      <c r="D37" s="19" t="s">
        <v>208</v>
      </c>
    </row>
    <row r="38" customFormat="false" ht="30" hidden="false" customHeight="true" outlineLevel="0" collapsed="false">
      <c r="A38" s="17"/>
      <c r="B38" s="17" t="s">
        <v>206</v>
      </c>
      <c r="C38" s="17" t="s">
        <v>62</v>
      </c>
      <c r="D38" s="18" t="s">
        <v>209</v>
      </c>
    </row>
    <row r="39" customFormat="false" ht="30" hidden="false" customHeight="true" outlineLevel="0" collapsed="false">
      <c r="A39" s="4"/>
      <c r="B39" s="4" t="s">
        <v>206</v>
      </c>
      <c r="C39" s="4" t="s">
        <v>149</v>
      </c>
      <c r="D39" s="19" t="s">
        <v>210</v>
      </c>
    </row>
    <row r="40" customFormat="false" ht="30" hidden="false" customHeight="true" outlineLevel="0" collapsed="false">
      <c r="A40" s="17" t="n">
        <v>10</v>
      </c>
      <c r="B40" s="17" t="s">
        <v>211</v>
      </c>
      <c r="C40" s="17" t="s">
        <v>125</v>
      </c>
      <c r="D40" s="18" t="s">
        <v>212</v>
      </c>
    </row>
    <row r="41" customFormat="false" ht="30" hidden="false" customHeight="true" outlineLevel="0" collapsed="false">
      <c r="A41" s="4"/>
      <c r="B41" s="4" t="s">
        <v>211</v>
      </c>
      <c r="C41" s="4" t="s">
        <v>179</v>
      </c>
      <c r="D41" s="19" t="s">
        <v>213</v>
      </c>
    </row>
    <row r="42" customFormat="false" ht="30" hidden="false" customHeight="true" outlineLevel="0" collapsed="false">
      <c r="A42" s="17"/>
      <c r="B42" s="17" t="s">
        <v>211</v>
      </c>
      <c r="C42" s="17" t="s">
        <v>164</v>
      </c>
      <c r="D42" s="18" t="s">
        <v>214</v>
      </c>
    </row>
    <row r="43" customFormat="false" ht="30" hidden="false" customHeight="true" outlineLevel="0" collapsed="false">
      <c r="A43" s="4" t="n">
        <v>11</v>
      </c>
      <c r="B43" s="4" t="s">
        <v>215</v>
      </c>
      <c r="C43" s="4" t="s">
        <v>125</v>
      </c>
      <c r="D43" s="19" t="s">
        <v>216</v>
      </c>
    </row>
    <row r="44" customFormat="false" ht="30" hidden="false" customHeight="true" outlineLevel="0" collapsed="false">
      <c r="A44" s="17"/>
      <c r="B44" s="17" t="s">
        <v>215</v>
      </c>
      <c r="C44" s="17" t="s">
        <v>166</v>
      </c>
      <c r="D44" s="18" t="s">
        <v>217</v>
      </c>
    </row>
    <row r="45" customFormat="false" ht="30" hidden="false" customHeight="true" outlineLevel="0" collapsed="false">
      <c r="A45" s="4" t="n">
        <v>12</v>
      </c>
      <c r="B45" s="4" t="s">
        <v>218</v>
      </c>
      <c r="C45" s="4" t="s">
        <v>125</v>
      </c>
      <c r="D45" s="19" t="s">
        <v>219</v>
      </c>
    </row>
    <row r="46" customFormat="false" ht="30" hidden="false" customHeight="true" outlineLevel="0" collapsed="false">
      <c r="A46" s="17"/>
      <c r="B46" s="17" t="s">
        <v>218</v>
      </c>
      <c r="C46" s="17" t="s">
        <v>40</v>
      </c>
      <c r="D46" s="18" t="s">
        <v>220</v>
      </c>
    </row>
    <row r="47" customFormat="false" ht="30" hidden="false" customHeight="true" outlineLevel="0" collapsed="false">
      <c r="A47" s="4" t="n">
        <v>13</v>
      </c>
      <c r="B47" s="4" t="s">
        <v>221</v>
      </c>
      <c r="C47" s="4" t="s">
        <v>43</v>
      </c>
      <c r="D47" s="19" t="s">
        <v>222</v>
      </c>
    </row>
    <row r="48" customFormat="false" ht="30" hidden="false" customHeight="true" outlineLevel="0" collapsed="false">
      <c r="A48" s="17" t="n">
        <v>14</v>
      </c>
      <c r="B48" s="17" t="s">
        <v>223</v>
      </c>
      <c r="C48" s="17" t="s">
        <v>43</v>
      </c>
      <c r="D48" s="18" t="s">
        <v>224</v>
      </c>
    </row>
    <row r="49" customFormat="false" ht="30" hidden="false" customHeight="true" outlineLevel="0" collapsed="false">
      <c r="A49" s="4"/>
      <c r="B49" s="4" t="s">
        <v>223</v>
      </c>
      <c r="C49" s="4" t="s">
        <v>225</v>
      </c>
      <c r="D49" s="19" t="s">
        <v>226</v>
      </c>
    </row>
    <row r="50" customFormat="false" ht="30" hidden="false" customHeight="true" outlineLevel="0" collapsed="false">
      <c r="A50" s="17" t="n">
        <v>15</v>
      </c>
      <c r="B50" s="17" t="s">
        <v>227</v>
      </c>
      <c r="C50" s="17" t="s">
        <v>225</v>
      </c>
      <c r="D50" s="18" t="s">
        <v>228</v>
      </c>
    </row>
    <row r="51" customFormat="false" ht="30" hidden="false" customHeight="true" outlineLevel="0" collapsed="false">
      <c r="A51" s="4" t="n">
        <v>16</v>
      </c>
      <c r="B51" s="4" t="s">
        <v>229</v>
      </c>
      <c r="C51" s="4" t="s">
        <v>225</v>
      </c>
      <c r="D51" s="19" t="s">
        <v>230</v>
      </c>
    </row>
    <row r="52" customFormat="false" ht="30" hidden="false" customHeight="true" outlineLevel="0" collapsed="false">
      <c r="A52" s="17" t="n">
        <v>17</v>
      </c>
      <c r="B52" s="17" t="s">
        <v>231</v>
      </c>
      <c r="C52" s="17" t="s">
        <v>225</v>
      </c>
      <c r="D52" s="18" t="s">
        <v>232</v>
      </c>
    </row>
    <row r="53" customFormat="false" ht="30" hidden="false" customHeight="true" outlineLevel="0" collapsed="false">
      <c r="A53" s="4" t="n">
        <v>18</v>
      </c>
      <c r="B53" s="4" t="s">
        <v>233</v>
      </c>
      <c r="C53" s="4" t="s">
        <v>225</v>
      </c>
      <c r="D53" s="19" t="s">
        <v>234</v>
      </c>
    </row>
    <row r="54" customFormat="false" ht="30" hidden="false" customHeight="true" outlineLevel="0" collapsed="false">
      <c r="A54" s="17" t="n">
        <v>19</v>
      </c>
      <c r="B54" s="17" t="s">
        <v>235</v>
      </c>
      <c r="C54" s="17" t="s">
        <v>166</v>
      </c>
      <c r="D54" s="18" t="s">
        <v>236</v>
      </c>
    </row>
    <row r="55" customFormat="false" ht="30" hidden="false" customHeight="true" outlineLevel="0" collapsed="false">
      <c r="A55" s="4" t="n">
        <v>20</v>
      </c>
      <c r="B55" s="4" t="s">
        <v>237</v>
      </c>
      <c r="C55" s="4" t="s">
        <v>166</v>
      </c>
      <c r="D55" s="19" t="s">
        <v>238</v>
      </c>
    </row>
    <row r="56" customFormat="false" ht="30" hidden="false" customHeight="true" outlineLevel="0" collapsed="false">
      <c r="A56" s="17" t="n">
        <v>21</v>
      </c>
      <c r="B56" s="17" t="s">
        <v>239</v>
      </c>
      <c r="C56" s="17" t="s">
        <v>166</v>
      </c>
      <c r="D56" s="18" t="s">
        <v>240</v>
      </c>
    </row>
    <row r="57" customFormat="false" ht="30" hidden="false" customHeight="true" outlineLevel="0" collapsed="false">
      <c r="A57" s="4"/>
      <c r="B57" s="4" t="s">
        <v>239</v>
      </c>
      <c r="C57" s="4" t="s">
        <v>225</v>
      </c>
      <c r="D57" s="19" t="s">
        <v>241</v>
      </c>
    </row>
    <row r="58" customFormat="false" ht="30" hidden="false" customHeight="true" outlineLevel="0" collapsed="false">
      <c r="A58" s="17" t="n">
        <v>22</v>
      </c>
      <c r="B58" s="17" t="s">
        <v>242</v>
      </c>
      <c r="C58" s="17" t="s">
        <v>166</v>
      </c>
      <c r="D58" s="18" t="s">
        <v>243</v>
      </c>
    </row>
    <row r="59" customFormat="false" ht="30" hidden="false" customHeight="true" outlineLevel="0" collapsed="false">
      <c r="A59" s="4" t="n">
        <v>23</v>
      </c>
      <c r="B59" s="4" t="s">
        <v>244</v>
      </c>
      <c r="C59" s="4" t="s">
        <v>166</v>
      </c>
      <c r="D59" s="19" t="s">
        <v>245</v>
      </c>
    </row>
    <row r="60" customFormat="false" ht="30" hidden="false" customHeight="true" outlineLevel="0" collapsed="false">
      <c r="A60" s="17" t="n">
        <v>24</v>
      </c>
      <c r="B60" s="17" t="s">
        <v>246</v>
      </c>
      <c r="C60" s="17" t="s">
        <v>166</v>
      </c>
      <c r="D60" s="18" t="s">
        <v>247</v>
      </c>
    </row>
    <row r="61" customFormat="false" ht="30" hidden="false" customHeight="true" outlineLevel="0" collapsed="false">
      <c r="A61" s="4"/>
      <c r="B61" s="4" t="s">
        <v>246</v>
      </c>
      <c r="C61" s="4" t="s">
        <v>40</v>
      </c>
      <c r="D61" s="19" t="s">
        <v>248</v>
      </c>
    </row>
    <row r="62" customFormat="false" ht="30" hidden="false" customHeight="true" outlineLevel="0" collapsed="false">
      <c r="A62" s="17" t="n">
        <v>25</v>
      </c>
      <c r="B62" s="17" t="s">
        <v>249</v>
      </c>
      <c r="C62" s="17" t="s">
        <v>164</v>
      </c>
      <c r="D62" s="18" t="s">
        <v>250</v>
      </c>
    </row>
    <row r="63" customFormat="false" ht="30" hidden="false" customHeight="true" outlineLevel="0" collapsed="false">
      <c r="A63" s="4" t="n">
        <v>26</v>
      </c>
      <c r="B63" s="4" t="s">
        <v>251</v>
      </c>
      <c r="C63" s="4" t="s">
        <v>164</v>
      </c>
      <c r="D63" s="19" t="s">
        <v>252</v>
      </c>
    </row>
    <row r="64" customFormat="false" ht="30" hidden="false" customHeight="true" outlineLevel="0" collapsed="false">
      <c r="A64" s="17"/>
      <c r="B64" s="17" t="s">
        <v>251</v>
      </c>
      <c r="C64" s="17" t="s">
        <v>166</v>
      </c>
      <c r="D64" s="18" t="s">
        <v>253</v>
      </c>
    </row>
    <row r="65" customFormat="false" ht="30" hidden="false" customHeight="true" outlineLevel="0" collapsed="false">
      <c r="A65" s="4" t="n">
        <v>27</v>
      </c>
      <c r="B65" s="4" t="s">
        <v>254</v>
      </c>
      <c r="C65" s="4" t="s">
        <v>164</v>
      </c>
      <c r="D65" s="19" t="s">
        <v>255</v>
      </c>
    </row>
    <row r="66" customFormat="false" ht="30" hidden="false" customHeight="true" outlineLevel="0" collapsed="false">
      <c r="A66" s="17"/>
      <c r="B66" s="17" t="s">
        <v>254</v>
      </c>
      <c r="C66" s="17" t="s">
        <v>225</v>
      </c>
      <c r="D66" s="18" t="s">
        <v>256</v>
      </c>
    </row>
    <row r="67" customFormat="false" ht="30" hidden="false" customHeight="true" outlineLevel="0" collapsed="false">
      <c r="A67" s="4" t="n">
        <v>28</v>
      </c>
      <c r="B67" s="4" t="s">
        <v>257</v>
      </c>
      <c r="C67" s="4" t="s">
        <v>168</v>
      </c>
      <c r="D67" s="19" t="s">
        <v>258</v>
      </c>
    </row>
    <row r="68" customFormat="false" ht="30" hidden="false" customHeight="true" outlineLevel="0" collapsed="false">
      <c r="A68" s="17"/>
      <c r="B68" s="17" t="s">
        <v>257</v>
      </c>
      <c r="C68" s="17" t="s">
        <v>166</v>
      </c>
      <c r="D68" s="18" t="s">
        <v>259</v>
      </c>
    </row>
    <row r="69" customFormat="false" ht="30" hidden="false" customHeight="true" outlineLevel="0" collapsed="false">
      <c r="A69" s="4" t="n">
        <v>29</v>
      </c>
      <c r="B69" s="4" t="s">
        <v>260</v>
      </c>
      <c r="C69" s="4" t="s">
        <v>139</v>
      </c>
      <c r="D69" s="19" t="s">
        <v>261</v>
      </c>
    </row>
    <row r="70" customFormat="false" ht="30" hidden="false" customHeight="true" outlineLevel="0" collapsed="false">
      <c r="A70" s="17"/>
      <c r="B70" s="17" t="s">
        <v>260</v>
      </c>
      <c r="C70" s="17" t="s">
        <v>225</v>
      </c>
      <c r="D70" s="18" t="s">
        <v>262</v>
      </c>
    </row>
    <row r="71" customFormat="false" ht="30" hidden="false" customHeight="true" outlineLevel="0" collapsed="false">
      <c r="A71" s="4"/>
      <c r="B71" s="4" t="s">
        <v>260</v>
      </c>
      <c r="C71" s="4" t="s">
        <v>43</v>
      </c>
      <c r="D71" s="19" t="s">
        <v>263</v>
      </c>
    </row>
    <row r="72" customFormat="false" ht="30" hidden="false" customHeight="true" outlineLevel="0" collapsed="false">
      <c r="A72" s="17" t="n">
        <v>30</v>
      </c>
      <c r="B72" s="17" t="s">
        <v>264</v>
      </c>
      <c r="C72" s="17" t="s">
        <v>139</v>
      </c>
      <c r="D72" s="18" t="s">
        <v>265</v>
      </c>
    </row>
    <row r="73" customFormat="false" ht="30" hidden="false" customHeight="true" outlineLevel="0" collapsed="false">
      <c r="A73" s="4"/>
      <c r="B73" s="4" t="s">
        <v>264</v>
      </c>
      <c r="C73" s="4" t="s">
        <v>48</v>
      </c>
      <c r="D73" s="19" t="s">
        <v>266</v>
      </c>
    </row>
    <row r="74" customFormat="false" ht="30" hidden="false" customHeight="true" outlineLevel="0" collapsed="false">
      <c r="A74" s="17" t="n">
        <v>31</v>
      </c>
      <c r="B74" s="17" t="s">
        <v>267</v>
      </c>
      <c r="C74" s="17" t="s">
        <v>139</v>
      </c>
      <c r="D74" s="18" t="s">
        <v>268</v>
      </c>
    </row>
    <row r="75" customFormat="false" ht="30" hidden="false" customHeight="true" outlineLevel="0" collapsed="false">
      <c r="A75" s="4"/>
      <c r="B75" s="4" t="s">
        <v>267</v>
      </c>
      <c r="C75" s="4" t="s">
        <v>48</v>
      </c>
      <c r="D75" s="19" t="s">
        <v>269</v>
      </c>
    </row>
    <row r="76" customFormat="false" ht="30" hidden="false" customHeight="true" outlineLevel="0" collapsed="false">
      <c r="A76" s="17" t="n">
        <v>32</v>
      </c>
      <c r="B76" s="17" t="s">
        <v>270</v>
      </c>
      <c r="C76" s="17" t="s">
        <v>143</v>
      </c>
      <c r="D76" s="18" t="s">
        <v>271</v>
      </c>
    </row>
    <row r="77" customFormat="false" ht="30" hidden="false" customHeight="true" outlineLevel="0" collapsed="false">
      <c r="A77" s="4" t="n">
        <v>33</v>
      </c>
      <c r="B77" s="4" t="s">
        <v>272</v>
      </c>
      <c r="C77" s="4" t="s">
        <v>179</v>
      </c>
      <c r="D77" s="19" t="s">
        <v>273</v>
      </c>
    </row>
    <row r="78" customFormat="false" ht="30" hidden="false" customHeight="true" outlineLevel="0" collapsed="false">
      <c r="A78" s="17"/>
      <c r="B78" s="17" t="s">
        <v>272</v>
      </c>
      <c r="C78" s="17" t="s">
        <v>143</v>
      </c>
      <c r="D78" s="18" t="s">
        <v>274</v>
      </c>
    </row>
    <row r="79" customFormat="false" ht="30" hidden="false" customHeight="true" outlineLevel="0" collapsed="false">
      <c r="A79" s="4" t="n">
        <v>34</v>
      </c>
      <c r="B79" s="4" t="s">
        <v>275</v>
      </c>
      <c r="C79" s="4" t="s">
        <v>179</v>
      </c>
      <c r="D79" s="19" t="s">
        <v>276</v>
      </c>
    </row>
    <row r="80" customFormat="false" ht="30" hidden="false" customHeight="true" outlineLevel="0" collapsed="false">
      <c r="A80" s="17" t="n">
        <v>35</v>
      </c>
      <c r="B80" s="17" t="s">
        <v>277</v>
      </c>
      <c r="C80" s="17" t="s">
        <v>179</v>
      </c>
      <c r="D80" s="18" t="s">
        <v>278</v>
      </c>
    </row>
    <row r="81" customFormat="false" ht="30" hidden="false" customHeight="true" outlineLevel="0" collapsed="false">
      <c r="A81" s="4" t="n">
        <v>36</v>
      </c>
      <c r="B81" s="4" t="s">
        <v>279</v>
      </c>
      <c r="C81" s="4" t="s">
        <v>179</v>
      </c>
      <c r="D81" s="19" t="s">
        <v>280</v>
      </c>
    </row>
    <row r="82" customFormat="false" ht="30" hidden="false" customHeight="true" outlineLevel="0" collapsed="false">
      <c r="A82" s="17" t="n">
        <v>37</v>
      </c>
      <c r="B82" s="17" t="s">
        <v>281</v>
      </c>
      <c r="C82" s="17" t="s">
        <v>179</v>
      </c>
      <c r="D82" s="18" t="s">
        <v>282</v>
      </c>
    </row>
    <row r="83" customFormat="false" ht="30" hidden="false" customHeight="true" outlineLevel="0" collapsed="false">
      <c r="A83" s="4" t="n">
        <v>38</v>
      </c>
      <c r="B83" s="4" t="s">
        <v>283</v>
      </c>
      <c r="C83" s="4" t="s">
        <v>179</v>
      </c>
      <c r="D83" s="19" t="s">
        <v>284</v>
      </c>
    </row>
    <row r="84" customFormat="false" ht="30" hidden="false" customHeight="true" outlineLevel="0" collapsed="false">
      <c r="A84" s="17" t="n">
        <v>39</v>
      </c>
      <c r="B84" s="17" t="s">
        <v>285</v>
      </c>
      <c r="C84" s="17" t="s">
        <v>179</v>
      </c>
      <c r="D84" s="18" t="s">
        <v>284</v>
      </c>
    </row>
    <row r="85" customFormat="false" ht="30" hidden="false" customHeight="true" outlineLevel="0" collapsed="false">
      <c r="A85" s="4" t="n">
        <v>40</v>
      </c>
      <c r="B85" s="4" t="s">
        <v>286</v>
      </c>
      <c r="C85" s="4" t="s">
        <v>55</v>
      </c>
      <c r="D85" s="19" t="s">
        <v>287</v>
      </c>
    </row>
    <row r="86" customFormat="false" ht="30" hidden="false" customHeight="true" outlineLevel="0" collapsed="false">
      <c r="A86" s="17" t="n">
        <v>41</v>
      </c>
      <c r="B86" s="17" t="s">
        <v>288</v>
      </c>
      <c r="C86" s="17" t="s">
        <v>55</v>
      </c>
      <c r="D86" s="18" t="s">
        <v>289</v>
      </c>
    </row>
    <row r="87" customFormat="false" ht="30" hidden="false" customHeight="true" outlineLevel="0" collapsed="false">
      <c r="A87" s="4" t="n">
        <v>42</v>
      </c>
      <c r="B87" s="4" t="s">
        <v>290</v>
      </c>
      <c r="C87" s="4" t="s">
        <v>55</v>
      </c>
      <c r="D87" s="19" t="s">
        <v>291</v>
      </c>
    </row>
    <row r="88" customFormat="false" ht="30" hidden="false" customHeight="true" outlineLevel="0" collapsed="false">
      <c r="A88" s="17" t="n">
        <v>43</v>
      </c>
      <c r="B88" s="17" t="s">
        <v>292</v>
      </c>
      <c r="C88" s="17" t="s">
        <v>57</v>
      </c>
      <c r="D88" s="18" t="s">
        <v>293</v>
      </c>
    </row>
    <row r="89" customFormat="false" ht="30" hidden="false" customHeight="true" outlineLevel="0" collapsed="false">
      <c r="A89" s="4"/>
      <c r="B89" s="4" t="s">
        <v>292</v>
      </c>
      <c r="C89" s="4" t="s">
        <v>149</v>
      </c>
      <c r="D89" s="19" t="s">
        <v>294</v>
      </c>
    </row>
    <row r="90" customFormat="false" ht="30" hidden="false" customHeight="true" outlineLevel="0" collapsed="false">
      <c r="A90" s="17" t="n">
        <v>44</v>
      </c>
      <c r="B90" s="17" t="s">
        <v>295</v>
      </c>
      <c r="C90" s="17" t="s">
        <v>149</v>
      </c>
      <c r="D90" s="18" t="s">
        <v>296</v>
      </c>
    </row>
    <row r="91" customFormat="false" ht="30" hidden="false" customHeight="true" outlineLevel="0" collapsed="false">
      <c r="A91" s="4" t="n">
        <v>45</v>
      </c>
      <c r="B91" s="4" t="s">
        <v>297</v>
      </c>
      <c r="C91" s="4" t="s">
        <v>149</v>
      </c>
      <c r="D91" s="19" t="s">
        <v>298</v>
      </c>
    </row>
    <row r="92" customFormat="false" ht="30" hidden="false" customHeight="true" outlineLevel="0" collapsed="false">
      <c r="A92" s="17"/>
      <c r="B92" s="17" t="s">
        <v>297</v>
      </c>
      <c r="C92" s="17" t="s">
        <v>62</v>
      </c>
      <c r="D92" s="18" t="s">
        <v>299</v>
      </c>
    </row>
    <row r="93" customFormat="false" ht="30" hidden="false" customHeight="true" outlineLevel="0" collapsed="false">
      <c r="A93" s="4" t="n">
        <v>46</v>
      </c>
      <c r="B93" s="4" t="s">
        <v>300</v>
      </c>
      <c r="C93" s="4" t="s">
        <v>60</v>
      </c>
      <c r="D93" s="19" t="s">
        <v>301</v>
      </c>
    </row>
    <row r="94" customFormat="false" ht="30" hidden="false" customHeight="true" outlineLevel="0" collapsed="false">
      <c r="A94" s="17" t="n">
        <v>47</v>
      </c>
      <c r="B94" s="17" t="s">
        <v>302</v>
      </c>
      <c r="C94" s="17" t="s">
        <v>62</v>
      </c>
      <c r="D94" s="18" t="s">
        <v>303</v>
      </c>
    </row>
    <row r="95" customFormat="false" ht="30" hidden="false" customHeight="true" outlineLevel="0" collapsed="false">
      <c r="A95" s="4" t="n">
        <v>48</v>
      </c>
      <c r="B95" s="4" t="s">
        <v>304</v>
      </c>
      <c r="C95" s="4" t="s">
        <v>62</v>
      </c>
      <c r="D95" s="19" t="s">
        <v>305</v>
      </c>
    </row>
    <row r="96" customFormat="false" ht="30" hidden="false" customHeight="true" outlineLevel="0" collapsed="false">
      <c r="A96" s="17" t="n">
        <v>49</v>
      </c>
      <c r="B96" s="17" t="s">
        <v>306</v>
      </c>
      <c r="C96" s="17" t="s">
        <v>151</v>
      </c>
      <c r="D96" s="18" t="s">
        <v>307</v>
      </c>
    </row>
    <row r="97" customFormat="false" ht="30" hidden="false" customHeight="true" outlineLevel="0" collapsed="false">
      <c r="A97" s="4" t="n">
        <v>50</v>
      </c>
      <c r="B97" s="4" t="s">
        <v>308</v>
      </c>
      <c r="C97" s="4" t="s">
        <v>309</v>
      </c>
      <c r="D97" s="19" t="s">
        <v>310</v>
      </c>
    </row>
    <row r="98" customFormat="false" ht="30" hidden="false" customHeight="true" outlineLevel="0" collapsed="false">
      <c r="A98" s="17" t="n">
        <v>51</v>
      </c>
      <c r="B98" s="17" t="s">
        <v>311</v>
      </c>
      <c r="C98" s="17" t="s">
        <v>67</v>
      </c>
      <c r="D98" s="18" t="s">
        <v>312</v>
      </c>
    </row>
    <row r="99" customFormat="false" ht="30" hidden="false" customHeight="true" outlineLevel="0" collapsed="false">
      <c r="A99" s="4" t="n">
        <v>52</v>
      </c>
      <c r="B99" s="4" t="s">
        <v>313</v>
      </c>
      <c r="C99" s="4" t="s">
        <v>67</v>
      </c>
      <c r="D99" s="19" t="s">
        <v>314</v>
      </c>
    </row>
    <row r="100" customFormat="false" ht="30" hidden="false" customHeight="true" outlineLevel="0" collapsed="false">
      <c r="A100" s="17" t="n">
        <v>53</v>
      </c>
      <c r="B100" s="17" t="s">
        <v>315</v>
      </c>
      <c r="C100" s="17" t="s">
        <v>67</v>
      </c>
      <c r="D100" s="18" t="s">
        <v>316</v>
      </c>
    </row>
    <row r="101" customFormat="false" ht="30" hidden="false" customHeight="true" outlineLevel="0" collapsed="false">
      <c r="A101" s="4" t="n">
        <v>54</v>
      </c>
      <c r="B101" s="4" t="s">
        <v>317</v>
      </c>
      <c r="C101" s="4" t="s">
        <v>149</v>
      </c>
      <c r="D101" s="19" t="s">
        <v>318</v>
      </c>
    </row>
    <row r="102" customFormat="false" ht="30" hidden="false" customHeight="true" outlineLevel="0" collapsed="false">
      <c r="A102" s="17"/>
      <c r="B102" s="17" t="s">
        <v>317</v>
      </c>
      <c r="C102" s="17" t="s">
        <v>67</v>
      </c>
      <c r="D102" s="18" t="s">
        <v>319</v>
      </c>
    </row>
    <row r="103" customFormat="false" ht="30" hidden="false" customHeight="true" outlineLevel="0" collapsed="false">
      <c r="A103" s="4" t="n">
        <v>55</v>
      </c>
      <c r="B103" s="4" t="s">
        <v>320</v>
      </c>
      <c r="C103" s="4" t="s">
        <v>67</v>
      </c>
      <c r="D103" s="19" t="s">
        <v>321</v>
      </c>
    </row>
    <row r="104" customFormat="false" ht="30" hidden="false" customHeight="true" outlineLevel="0" collapsed="false">
      <c r="A104" s="17" t="n">
        <v>56</v>
      </c>
      <c r="B104" s="17" t="s">
        <v>322</v>
      </c>
      <c r="C104" s="17" t="s">
        <v>67</v>
      </c>
      <c r="D104" s="18" t="s">
        <v>323</v>
      </c>
    </row>
    <row r="105" customFormat="false" ht="30" hidden="false" customHeight="true" outlineLevel="0" collapsed="false">
      <c r="A105" s="4" t="n">
        <v>57</v>
      </c>
      <c r="B105" s="4" t="s">
        <v>324</v>
      </c>
      <c r="C105" s="4" t="s">
        <v>67</v>
      </c>
      <c r="D105" s="19" t="s">
        <v>325</v>
      </c>
    </row>
    <row r="106" customFormat="false" ht="30" hidden="false" customHeight="true" outlineLevel="0" collapsed="false">
      <c r="A106" s="17" t="n">
        <v>58</v>
      </c>
      <c r="B106" s="17" t="s">
        <v>326</v>
      </c>
      <c r="C106" s="17" t="s">
        <v>67</v>
      </c>
      <c r="D106" s="18" t="s">
        <v>327</v>
      </c>
    </row>
    <row r="107" customFormat="false" ht="30" hidden="false" customHeight="true" outlineLevel="0" collapsed="false">
      <c r="A107" s="4" t="n">
        <v>59</v>
      </c>
      <c r="B107" s="4" t="s">
        <v>328</v>
      </c>
      <c r="C107" s="4" t="s">
        <v>67</v>
      </c>
      <c r="D107" s="19" t="s">
        <v>329</v>
      </c>
    </row>
    <row r="108" customFormat="false" ht="30" hidden="false" customHeight="true" outlineLevel="0" collapsed="false">
      <c r="A108" s="17" t="n">
        <v>60</v>
      </c>
      <c r="B108" s="17" t="s">
        <v>330</v>
      </c>
      <c r="C108" s="17" t="s">
        <v>67</v>
      </c>
      <c r="D108" s="18" t="s">
        <v>331</v>
      </c>
    </row>
    <row r="109" customFormat="false" ht="30" hidden="false" customHeight="true" outlineLevel="0" collapsed="false">
      <c r="A109" s="4" t="n">
        <v>61</v>
      </c>
      <c r="B109" s="4" t="s">
        <v>332</v>
      </c>
      <c r="C109" s="4" t="s">
        <v>71</v>
      </c>
      <c r="D109" s="19" t="s">
        <v>333</v>
      </c>
    </row>
    <row r="110" customFormat="false" ht="30" hidden="false" customHeight="true" outlineLevel="0" collapsed="false">
      <c r="A110" s="17" t="n">
        <v>62</v>
      </c>
      <c r="B110" s="17" t="s">
        <v>334</v>
      </c>
      <c r="C110" s="17" t="s">
        <v>71</v>
      </c>
      <c r="D110" s="18" t="s">
        <v>335</v>
      </c>
    </row>
    <row r="111" customFormat="false" ht="30" hidden="false" customHeight="true" outlineLevel="0" collapsed="false">
      <c r="A111" s="4" t="n">
        <v>63</v>
      </c>
      <c r="B111" s="4" t="s">
        <v>336</v>
      </c>
      <c r="C111" s="4" t="s">
        <v>73</v>
      </c>
      <c r="D111" s="19" t="s">
        <v>337</v>
      </c>
    </row>
    <row r="112" customFormat="false" ht="30" hidden="false" customHeight="true" outlineLevel="0" collapsed="false">
      <c r="A112" s="17" t="n">
        <v>64</v>
      </c>
      <c r="B112" s="17" t="s">
        <v>338</v>
      </c>
      <c r="C112" s="17" t="s">
        <v>73</v>
      </c>
      <c r="D112" s="18" t="s">
        <v>339</v>
      </c>
    </row>
    <row r="113" customFormat="false" ht="30" hidden="false" customHeight="true" outlineLevel="0" collapsed="false">
      <c r="A113" s="4" t="n">
        <v>65</v>
      </c>
      <c r="B113" s="4" t="s">
        <v>340</v>
      </c>
      <c r="C113" s="4" t="s">
        <v>73</v>
      </c>
      <c r="D113" s="19" t="s">
        <v>341</v>
      </c>
    </row>
    <row r="114" customFormat="false" ht="30" hidden="false" customHeight="true" outlineLevel="0" collapsed="false">
      <c r="A114" s="17" t="n">
        <v>66</v>
      </c>
      <c r="B114" s="17" t="s">
        <v>342</v>
      </c>
      <c r="C114" s="17" t="s">
        <v>73</v>
      </c>
      <c r="D114" s="18" t="s">
        <v>343</v>
      </c>
    </row>
    <row r="115" customFormat="false" ht="30" hidden="false" customHeight="true" outlineLevel="0" collapsed="false">
      <c r="A115" s="4" t="n">
        <v>67</v>
      </c>
      <c r="B115" s="4" t="s">
        <v>344</v>
      </c>
      <c r="C115" s="4" t="s">
        <v>73</v>
      </c>
      <c r="D115" s="19" t="s">
        <v>345</v>
      </c>
    </row>
    <row r="116" customFormat="false" ht="30" hidden="false" customHeight="true" outlineLevel="0" collapsed="false">
      <c r="A116" s="17" t="n">
        <v>68</v>
      </c>
      <c r="B116" s="17" t="s">
        <v>346</v>
      </c>
      <c r="C116" s="17" t="s">
        <v>125</v>
      </c>
      <c r="D116" s="18" t="s">
        <v>347</v>
      </c>
    </row>
    <row r="117" customFormat="false" ht="30" hidden="false" customHeight="true" outlineLevel="0" collapsed="false">
      <c r="A117" s="4"/>
      <c r="B117" s="4" t="s">
        <v>346</v>
      </c>
      <c r="C117" s="4" t="s">
        <v>179</v>
      </c>
      <c r="D117" s="19" t="s">
        <v>284</v>
      </c>
    </row>
    <row r="118" customFormat="false" ht="30" hidden="false" customHeight="true" outlineLevel="0" collapsed="false">
      <c r="A118" s="17"/>
      <c r="B118" s="17" t="s">
        <v>346</v>
      </c>
      <c r="C118" s="17" t="s">
        <v>164</v>
      </c>
      <c r="D118" s="18" t="s">
        <v>348</v>
      </c>
    </row>
    <row r="119" customFormat="false" ht="30" hidden="false" customHeight="true" outlineLevel="0" collapsed="false">
      <c r="A119" s="4"/>
      <c r="B119" s="4" t="s">
        <v>346</v>
      </c>
      <c r="C119" s="4" t="s">
        <v>166</v>
      </c>
      <c r="D119" s="19" t="s">
        <v>349</v>
      </c>
    </row>
    <row r="120" customFormat="false" ht="30" hidden="false" customHeight="true" outlineLevel="0" collapsed="false">
      <c r="A120" s="17" t="n">
        <v>69</v>
      </c>
      <c r="B120" s="17" t="s">
        <v>350</v>
      </c>
      <c r="C120" s="17" t="s">
        <v>71</v>
      </c>
      <c r="D120" s="18" t="s">
        <v>351</v>
      </c>
    </row>
    <row r="121" customFormat="false" ht="30" hidden="false" customHeight="true" outlineLevel="0" collapsed="false">
      <c r="A121" s="4"/>
      <c r="B121" s="4" t="s">
        <v>350</v>
      </c>
      <c r="C121" s="4" t="s">
        <v>43</v>
      </c>
      <c r="D121" s="19" t="s">
        <v>352</v>
      </c>
    </row>
    <row r="122" customFormat="false" ht="30" hidden="false" customHeight="true" outlineLevel="0" collapsed="false">
      <c r="A122" s="17"/>
      <c r="B122" s="17" t="s">
        <v>350</v>
      </c>
      <c r="C122" s="17" t="s">
        <v>225</v>
      </c>
      <c r="D122" s="18" t="s">
        <v>353</v>
      </c>
    </row>
    <row r="123" customFormat="false" ht="30" hidden="false" customHeight="true" outlineLevel="0" collapsed="false">
      <c r="A123" s="4"/>
      <c r="B123" s="4" t="s">
        <v>350</v>
      </c>
      <c r="C123" s="4" t="s">
        <v>48</v>
      </c>
      <c r="D123" s="19" t="s">
        <v>354</v>
      </c>
    </row>
    <row r="124" customFormat="false" ht="30" hidden="false" customHeight="true" outlineLevel="0" collapsed="false">
      <c r="A124" s="17"/>
      <c r="B124" s="17" t="s">
        <v>350</v>
      </c>
      <c r="C124" s="17" t="s">
        <v>143</v>
      </c>
      <c r="D124" s="18" t="s">
        <v>355</v>
      </c>
    </row>
    <row r="125" customFormat="false" ht="30" hidden="false" customHeight="true" outlineLevel="0" collapsed="false">
      <c r="A125" s="4"/>
      <c r="B125" s="4" t="s">
        <v>350</v>
      </c>
      <c r="C125" s="4" t="s">
        <v>176</v>
      </c>
      <c r="D125" s="19" t="s">
        <v>356</v>
      </c>
    </row>
    <row r="126" customFormat="false" ht="30" hidden="false" customHeight="true" outlineLevel="0" collapsed="false">
      <c r="A126" s="17"/>
      <c r="B126" s="17" t="s">
        <v>350</v>
      </c>
      <c r="C126" s="17" t="s">
        <v>69</v>
      </c>
      <c r="D126" s="18" t="s">
        <v>357</v>
      </c>
    </row>
    <row r="127" customFormat="false" ht="30" hidden="false" customHeight="true" outlineLevel="0" collapsed="false">
      <c r="A127" s="4" t="n">
        <v>70</v>
      </c>
      <c r="B127" s="4" t="s">
        <v>358</v>
      </c>
      <c r="C127" s="4" t="s">
        <v>125</v>
      </c>
      <c r="D127" s="19" t="s">
        <v>359</v>
      </c>
    </row>
    <row r="128" customFormat="false" ht="30" hidden="false" customHeight="true" outlineLevel="0" collapsed="false">
      <c r="A128" s="17"/>
      <c r="B128" s="17" t="s">
        <v>358</v>
      </c>
      <c r="C128" s="17" t="s">
        <v>179</v>
      </c>
      <c r="D128" s="18" t="s">
        <v>284</v>
      </c>
    </row>
    <row r="129" customFormat="false" ht="30" hidden="false" customHeight="true" outlineLevel="0" collapsed="false">
      <c r="A129" s="4"/>
      <c r="B129" s="4" t="s">
        <v>358</v>
      </c>
      <c r="C129" s="4" t="s">
        <v>164</v>
      </c>
      <c r="D129" s="19" t="s">
        <v>360</v>
      </c>
    </row>
    <row r="130" customFormat="false" ht="30" hidden="false" customHeight="true" outlineLevel="0" collapsed="false">
      <c r="A130" s="17"/>
      <c r="B130" s="17" t="s">
        <v>358</v>
      </c>
      <c r="C130" s="17" t="s">
        <v>55</v>
      </c>
      <c r="D130" s="18" t="s">
        <v>361</v>
      </c>
    </row>
    <row r="131" customFormat="false" ht="30" hidden="false" customHeight="true" outlineLevel="0" collapsed="false">
      <c r="A131" s="4"/>
      <c r="B131" s="4" t="s">
        <v>358</v>
      </c>
      <c r="C131" s="4" t="s">
        <v>166</v>
      </c>
      <c r="D131" s="19" t="s">
        <v>362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2026-02-28T16:19:43Z</dcterms:created>
  <dc:creator>openpyxl</dc:creator>
  <dc:description/>
  <dc:language>en-US</dc:language>
  <cp:lastModifiedBy/>
  <dcterms:modified xsi:type="dcterms:W3CDTF">2026-02-28T16:19:43Z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