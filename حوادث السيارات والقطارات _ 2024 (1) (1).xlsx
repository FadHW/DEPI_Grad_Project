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fileserver\backup\Msrnet2007\بنــــــــــــــــك المعلـــــــــــــــــــــــــومات_2015\م.رشا\حوادث السيارات والقطارات 2024\"/>
    </mc:Choice>
  </mc:AlternateContent>
  <xr:revisionPtr revIDLastSave="0" documentId="13_ncr:1_{66AEEAAC-B9B5-4723-A0AC-599BE12D5348}" xr6:coauthVersionLast="47" xr6:coauthVersionMax="47" xr10:uidLastSave="{00000000-0000-0000-0000-000000000000}"/>
  <bookViews>
    <workbookView xWindow="-120" yWindow="-120" windowWidth="24240" windowHeight="13140" tabRatio="845" xr2:uid="{00000000-000D-0000-FFFF-FFFF00000000}"/>
  </bookViews>
  <sheets>
    <sheet name="تعريف - Def" sheetId="1" r:id="rId1"/>
    <sheet name="فهرس - Index" sheetId="2" r:id="rId2"/>
    <sheet name="جدول 1 Table" sheetId="3" r:id="rId3"/>
    <sheet name="جدول 2 Table" sheetId="4" r:id="rId4"/>
    <sheet name="جدول 3 Table" sheetId="5" r:id="rId5"/>
    <sheet name="جدول 4 Table" sheetId="6" r:id="rId6"/>
    <sheet name="جدول 5 Table" sheetId="7" r:id="rId7"/>
    <sheet name="جدول 6 Table" sheetId="8" r:id="rId8"/>
    <sheet name="جدول 7 Table" sheetId="9" r:id="rId9"/>
    <sheet name="جدول 8 Table" sheetId="10" r:id="rId10"/>
    <sheet name="جدول 9 Table" sheetId="11" r:id="rId11"/>
    <sheet name="جدول 10 Table" sheetId="12" r:id="rId12"/>
    <sheet name="جدول 11 Table" sheetId="13" r:id="rId13"/>
    <sheet name="جدول 12 Table" sheetId="14" r:id="rId14"/>
    <sheet name="جدول 13 Table" sheetId="15" r:id="rId15"/>
    <sheet name="جدول 14 Table" sheetId="16" r:id="rId16"/>
    <sheet name="جدول 15 Table" sheetId="17" r:id="rId17"/>
    <sheet name="جدول 16 Table" sheetId="18" r:id="rId18"/>
    <sheet name="جدول 17 Table" sheetId="19" r:id="rId19"/>
    <sheet name="جدول 18 Table" sheetId="20" r:id="rId20"/>
    <sheet name="جدول 19 Table" sheetId="21" r:id="rId21"/>
    <sheet name="جدول 20 Table" sheetId="22" r:id="rId22"/>
    <sheet name="جدول 21 Table" sheetId="23" r:id="rId23"/>
    <sheet name="جدول 22 Table" sheetId="24" r:id="rId24"/>
    <sheet name="جدول 23 Table" sheetId="25" r:id="rId25"/>
    <sheet name="جدول 24 Table" sheetId="26" r:id="rId26"/>
    <sheet name="جدول 25 Table" sheetId="27" r:id="rId27"/>
    <sheet name="جدول 26 Table" sheetId="28" r:id="rId28"/>
    <sheet name="جدول 27 Table" sheetId="29" r:id="rId29"/>
    <sheet name="جدول 28 Table" sheetId="30" r:id="rId30"/>
    <sheet name="جدول 29 Table" sheetId="31" r:id="rId31"/>
    <sheet name="جدول 30 Table" sheetId="32" r:id="rId32"/>
    <sheet name="جدول 31 Table" sheetId="33" r:id="rId33"/>
    <sheet name="جدول 32 Table" sheetId="34" r:id="rId34"/>
    <sheet name="جدول 33 Table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5" l="1"/>
  <c r="H24" i="35"/>
  <c r="G24" i="35"/>
  <c r="F24" i="35"/>
  <c r="E24" i="35"/>
  <c r="D24" i="35"/>
  <c r="F23" i="35"/>
  <c r="F22" i="35"/>
  <c r="F21" i="35"/>
  <c r="H20" i="35"/>
  <c r="G20" i="35"/>
  <c r="F20" i="35"/>
  <c r="E20" i="35"/>
  <c r="D20" i="35"/>
  <c r="F19" i="35"/>
  <c r="F18" i="35"/>
  <c r="F17" i="35"/>
  <c r="F16" i="35"/>
  <c r="H15" i="35"/>
  <c r="G15" i="35"/>
  <c r="F15" i="35"/>
  <c r="E15" i="35"/>
  <c r="D15" i="35"/>
  <c r="F14" i="35"/>
  <c r="F13" i="35"/>
  <c r="F12" i="35"/>
  <c r="F11" i="35"/>
  <c r="F10" i="35"/>
  <c r="F9" i="35"/>
  <c r="F8" i="35"/>
  <c r="F7" i="35"/>
  <c r="Q25" i="34"/>
  <c r="P25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Q24" i="34" s="1"/>
  <c r="D24" i="34"/>
  <c r="Q23" i="34"/>
  <c r="P23" i="34"/>
  <c r="Q22" i="34"/>
  <c r="P22" i="34"/>
  <c r="Q21" i="34"/>
  <c r="P21" i="34"/>
  <c r="O20" i="34"/>
  <c r="N20" i="34"/>
  <c r="M20" i="34"/>
  <c r="L20" i="34"/>
  <c r="K20" i="34"/>
  <c r="J20" i="34"/>
  <c r="I20" i="34"/>
  <c r="H20" i="34"/>
  <c r="G20" i="34"/>
  <c r="F20" i="34"/>
  <c r="E20" i="34"/>
  <c r="Q20" i="34" s="1"/>
  <c r="D20" i="34"/>
  <c r="P20" i="34" s="1"/>
  <c r="Q19" i="34"/>
  <c r="P19" i="34"/>
  <c r="Q18" i="34"/>
  <c r="P18" i="34"/>
  <c r="Q17" i="34"/>
  <c r="P17" i="34"/>
  <c r="Q16" i="34"/>
  <c r="P16" i="34"/>
  <c r="O15" i="34"/>
  <c r="N15" i="34"/>
  <c r="M15" i="34"/>
  <c r="L15" i="34"/>
  <c r="K15" i="34"/>
  <c r="J15" i="34"/>
  <c r="I15" i="34"/>
  <c r="H15" i="34"/>
  <c r="G15" i="34"/>
  <c r="F15" i="34"/>
  <c r="E15" i="34"/>
  <c r="Q15" i="34" s="1"/>
  <c r="D15" i="34"/>
  <c r="P15" i="34" s="1"/>
  <c r="Q14" i="34"/>
  <c r="P14" i="34"/>
  <c r="Q13" i="34"/>
  <c r="P13" i="34"/>
  <c r="Q12" i="34"/>
  <c r="P12" i="34"/>
  <c r="Q11" i="34"/>
  <c r="P11" i="34"/>
  <c r="Q10" i="34"/>
  <c r="P10" i="34"/>
  <c r="Q9" i="34"/>
  <c r="P9" i="34"/>
  <c r="Q8" i="34"/>
  <c r="P8" i="34"/>
  <c r="Q7" i="34"/>
  <c r="P7" i="34"/>
  <c r="H13" i="32"/>
  <c r="E13" i="32"/>
  <c r="H12" i="32"/>
  <c r="E12" i="32"/>
  <c r="H11" i="32"/>
  <c r="E11" i="32"/>
  <c r="H10" i="32"/>
  <c r="E10" i="32"/>
  <c r="H9" i="32"/>
  <c r="E9" i="32"/>
  <c r="H8" i="32"/>
  <c r="E8" i="32"/>
  <c r="E7" i="32" s="1"/>
  <c r="H7" i="32"/>
  <c r="G7" i="32"/>
  <c r="F7" i="32"/>
  <c r="D7" i="32"/>
  <c r="C7" i="32"/>
  <c r="B7" i="32"/>
  <c r="F10" i="29"/>
  <c r="L9" i="29"/>
  <c r="K9" i="29"/>
  <c r="J9" i="29"/>
  <c r="H9" i="29"/>
  <c r="G9" i="29"/>
  <c r="F9" i="29"/>
  <c r="D4" i="21"/>
  <c r="D4" i="20"/>
  <c r="J10" i="10"/>
  <c r="J9" i="10"/>
  <c r="J8" i="10"/>
  <c r="J7" i="10"/>
  <c r="I11" i="3" l="1"/>
  <c r="G11" i="3"/>
  <c r="C11" i="3"/>
  <c r="G10" i="3"/>
  <c r="E9" i="3"/>
  <c r="I8" i="3"/>
  <c r="G8" i="3"/>
  <c r="E8" i="3"/>
  <c r="F7" i="5"/>
  <c r="D7" i="5"/>
  <c r="D13" i="4"/>
  <c r="G12" i="4"/>
  <c r="D12" i="4"/>
  <c r="G11" i="4"/>
  <c r="D11" i="4"/>
  <c r="G10" i="4"/>
  <c r="D10" i="4"/>
  <c r="G9" i="4"/>
  <c r="D9" i="4"/>
  <c r="H35" i="27" l="1"/>
  <c r="G35" i="27"/>
  <c r="F35" i="27"/>
  <c r="H34" i="27"/>
  <c r="G34" i="27"/>
  <c r="F34" i="27"/>
  <c r="H33" i="27"/>
  <c r="G33" i="27"/>
  <c r="F33" i="27"/>
  <c r="F32" i="27"/>
  <c r="H32" i="27" s="1"/>
  <c r="F31" i="27"/>
  <c r="G31" i="27" s="1"/>
  <c r="H30" i="27"/>
  <c r="F30" i="27"/>
  <c r="G30" i="27" s="1"/>
  <c r="F29" i="27"/>
  <c r="G29" i="27" s="1"/>
  <c r="H28" i="27"/>
  <c r="G28" i="27"/>
  <c r="F28" i="27"/>
  <c r="H27" i="27"/>
  <c r="G27" i="27"/>
  <c r="F27" i="27"/>
  <c r="F26" i="27"/>
  <c r="H26" i="27" s="1"/>
  <c r="F25" i="27"/>
  <c r="H25" i="27" s="1"/>
  <c r="F24" i="27"/>
  <c r="H24" i="27" s="1"/>
  <c r="F23" i="27"/>
  <c r="H23" i="27" s="1"/>
  <c r="F22" i="27"/>
  <c r="G22" i="27" s="1"/>
  <c r="F21" i="27"/>
  <c r="H21" i="27" s="1"/>
  <c r="H20" i="27"/>
  <c r="F20" i="27"/>
  <c r="G20" i="27" s="1"/>
  <c r="F19" i="27"/>
  <c r="H19" i="27" s="1"/>
  <c r="F18" i="27"/>
  <c r="H18" i="27" s="1"/>
  <c r="G17" i="27"/>
  <c r="F17" i="27"/>
  <c r="H17" i="27" s="1"/>
  <c r="F16" i="27"/>
  <c r="H16" i="27" s="1"/>
  <c r="F15" i="27"/>
  <c r="G15" i="27" s="1"/>
  <c r="H14" i="27"/>
  <c r="F14" i="27"/>
  <c r="G14" i="27" s="1"/>
  <c r="F13" i="27"/>
  <c r="F12" i="27"/>
  <c r="H12" i="27" s="1"/>
  <c r="F11" i="27"/>
  <c r="G11" i="27" s="1"/>
  <c r="H10" i="27"/>
  <c r="G10" i="27"/>
  <c r="F10" i="27"/>
  <c r="F9" i="27"/>
  <c r="H9" i="27" s="1"/>
  <c r="E8" i="27"/>
  <c r="D8" i="27"/>
  <c r="C8" i="27"/>
  <c r="B8" i="27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E7" i="25"/>
  <c r="D7" i="25"/>
  <c r="C7" i="25"/>
  <c r="B7" i="25"/>
  <c r="F11" i="24"/>
  <c r="F10" i="24"/>
  <c r="F9" i="24"/>
  <c r="F8" i="24"/>
  <c r="F7" i="25" l="1"/>
  <c r="G9" i="27"/>
  <c r="H15" i="27"/>
  <c r="H22" i="27"/>
  <c r="G18" i="27"/>
  <c r="H11" i="27"/>
  <c r="G12" i="27"/>
  <c r="G19" i="27"/>
  <c r="G26" i="27"/>
  <c r="G23" i="27"/>
  <c r="F8" i="27"/>
  <c r="G8" i="27" s="1"/>
  <c r="H31" i="27"/>
  <c r="G25" i="27"/>
  <c r="G21" i="27"/>
  <c r="G13" i="27"/>
  <c r="H13" i="27"/>
  <c r="G16" i="27"/>
  <c r="G24" i="27"/>
  <c r="H29" i="27"/>
  <c r="G32" i="27"/>
  <c r="H8" i="27" l="1"/>
</calcChain>
</file>

<file path=xl/sharedStrings.xml><?xml version="1.0" encoding="utf-8"?>
<sst xmlns="http://schemas.openxmlformats.org/spreadsheetml/2006/main" count="1878" uniqueCount="750">
  <si>
    <t>©الجهاز المركزي للتعبئة العامة والإحصاء</t>
  </si>
  <si>
    <t>جمهورية مصر العربية</t>
  </si>
  <si>
    <t>www.capmas.gov.eg</t>
  </si>
  <si>
    <t>©Central Agency for Public Mobilization &amp; Statistics</t>
  </si>
  <si>
    <t>Arab Republic of Egypt</t>
  </si>
  <si>
    <t>اسم الإصدارة:</t>
  </si>
  <si>
    <t>Publication Name:</t>
  </si>
  <si>
    <t>عند استخدام أو اقتباس أي مادة من هذه الإصدارة يجب الإشارة إلى المصدر الأساسي: الجهاز المركزي للتعبئة العامة والإحصاء</t>
  </si>
  <si>
    <t>نوع الإصدار:</t>
  </si>
  <si>
    <t>Publication Type:</t>
  </si>
  <si>
    <t>When using any data or material from this publication, please cite the source as: Central Agency for Public Mobilization and Statistics</t>
  </si>
  <si>
    <t>نشرة إحصائية</t>
  </si>
  <si>
    <t>Statistical Bulletin</t>
  </si>
  <si>
    <t>دورية الإصدار:</t>
  </si>
  <si>
    <t>Periodicity:</t>
  </si>
  <si>
    <t>سنوي</t>
  </si>
  <si>
    <t>تاريخ الإصدار:</t>
  </si>
  <si>
    <t>Publication Date:</t>
  </si>
  <si>
    <t>فترة الدراسة:</t>
  </si>
  <si>
    <t>For the period:</t>
  </si>
  <si>
    <t>جدول - Table</t>
  </si>
  <si>
    <t>الاسم</t>
  </si>
  <si>
    <t>Name</t>
  </si>
  <si>
    <t>عودة للفهرس-return to Index</t>
  </si>
  <si>
    <t>جدول(1)</t>
  </si>
  <si>
    <t>Table(1)</t>
  </si>
  <si>
    <t>السنوات
Years</t>
  </si>
  <si>
    <t>حوادث السيارات
Car accidents</t>
  </si>
  <si>
    <t>حوادث القطارات
train accidents</t>
  </si>
  <si>
    <t>نتائــــج الحـــوادث</t>
  </si>
  <si>
    <t>نتائج الحوادث</t>
  </si>
  <si>
    <t>Accidents results</t>
  </si>
  <si>
    <t>المتوفين
Death</t>
  </si>
  <si>
    <t>نسبة التغير Percentage change</t>
  </si>
  <si>
    <t>المصابين
Infected</t>
  </si>
  <si>
    <t>جدول(2)</t>
  </si>
  <si>
    <t>Table(2)</t>
  </si>
  <si>
    <t>معدل قسوة الحادث (متوفى / مصاب * 100)</t>
  </si>
  <si>
    <t>Cruelty rate (Deceased / injured*100)</t>
  </si>
  <si>
    <t>المتوفي
Death</t>
  </si>
  <si>
    <t>جدول(3)</t>
  </si>
  <si>
    <t>Table(3)</t>
  </si>
  <si>
    <t>عــدد السكان التقديرى في منتصف العام</t>
  </si>
  <si>
    <t>عدد المصابين</t>
  </si>
  <si>
    <t>مصاب/100 الف نسمة</t>
  </si>
  <si>
    <t>عدد الوفيات</t>
  </si>
  <si>
    <t>متوفى /100 الف نسمة</t>
  </si>
  <si>
    <t>Number of Estimated population in the middle of the year</t>
  </si>
  <si>
    <t>number of Infected</t>
  </si>
  <si>
    <t>injured / 100 thousand Infected</t>
  </si>
  <si>
    <t>Number of death</t>
  </si>
  <si>
    <t>Deceasedd / 100 thousand inhabitants</t>
  </si>
  <si>
    <t>جدول(4)</t>
  </si>
  <si>
    <t>Table(4)</t>
  </si>
  <si>
    <t>السنه
Year</t>
  </si>
  <si>
    <t>يناير</t>
  </si>
  <si>
    <t>فبراير</t>
  </si>
  <si>
    <t>مارس</t>
  </si>
  <si>
    <t>ابريل</t>
  </si>
  <si>
    <t>مايو</t>
  </si>
  <si>
    <t>يونيو</t>
  </si>
  <si>
    <t>يوليو</t>
  </si>
  <si>
    <t>اغسطس</t>
  </si>
  <si>
    <t>سبتمبر</t>
  </si>
  <si>
    <t>اكتوبر</t>
  </si>
  <si>
    <t>نوفمبر</t>
  </si>
  <si>
    <t>ديسمبر</t>
  </si>
  <si>
    <t>اجمالي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</si>
  <si>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</si>
  <si>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</si>
  <si>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</si>
  <si>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</si>
  <si>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</si>
  <si>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</si>
  <si>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</si>
  <si>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</si>
  <si>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</si>
  <si>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</si>
  <si>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</si>
  <si>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</si>
  <si>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</si>
  <si>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جدول(5)</t>
  </si>
  <si>
    <t>Table(5)</t>
  </si>
  <si>
    <t>المحافظة</t>
  </si>
  <si>
    <t>Governorates</t>
  </si>
  <si>
    <t>الاجمالى</t>
  </si>
  <si>
    <t>القاهره</t>
  </si>
  <si>
    <t>Cairo</t>
  </si>
  <si>
    <t>الاسكندريه</t>
  </si>
  <si>
    <t>Alexandria</t>
  </si>
  <si>
    <t>بورسعيد</t>
  </si>
  <si>
    <t>Port_said</t>
  </si>
  <si>
    <t>السويس</t>
  </si>
  <si>
    <t>Suez</t>
  </si>
  <si>
    <t>الاسماعيليه</t>
  </si>
  <si>
    <t>Ismailia</t>
  </si>
  <si>
    <t>دمياط</t>
  </si>
  <si>
    <t>Damietta</t>
  </si>
  <si>
    <t>الدقهليه</t>
  </si>
  <si>
    <t>Dakahlia</t>
  </si>
  <si>
    <t>الشرقيه</t>
  </si>
  <si>
    <t>Sharkia</t>
  </si>
  <si>
    <t>القليوبيه</t>
  </si>
  <si>
    <t>Kalyoubia</t>
  </si>
  <si>
    <t>كفر الشيخ</t>
  </si>
  <si>
    <t>Kafr_ El Sheikh</t>
  </si>
  <si>
    <t>الغربيه</t>
  </si>
  <si>
    <t>Gharbia</t>
  </si>
  <si>
    <t>المنوفيه</t>
  </si>
  <si>
    <t>Menoufia</t>
  </si>
  <si>
    <t>البحيره</t>
  </si>
  <si>
    <t>Behera</t>
  </si>
  <si>
    <t>الجيزه</t>
  </si>
  <si>
    <t>Giza</t>
  </si>
  <si>
    <t>بنى سويف</t>
  </si>
  <si>
    <t>Beni Suef</t>
  </si>
  <si>
    <t>الفيوم</t>
  </si>
  <si>
    <t>Fayoum</t>
  </si>
  <si>
    <t>المنيا</t>
  </si>
  <si>
    <t>Menia</t>
  </si>
  <si>
    <t>اسيوط</t>
  </si>
  <si>
    <t>Asyout</t>
  </si>
  <si>
    <t>سوهاج</t>
  </si>
  <si>
    <t>Suhag</t>
  </si>
  <si>
    <t>قنا</t>
  </si>
  <si>
    <t>Qena</t>
  </si>
  <si>
    <t>اسوان</t>
  </si>
  <si>
    <t>Aswan</t>
  </si>
  <si>
    <t>الاقصر</t>
  </si>
  <si>
    <t>Luxor</t>
  </si>
  <si>
    <t>البحر الاحمر</t>
  </si>
  <si>
    <t>Red Sea</t>
  </si>
  <si>
    <t>الوادى الجديد</t>
  </si>
  <si>
    <t>Elwadi ElGidid</t>
  </si>
  <si>
    <t>مطروح</t>
  </si>
  <si>
    <t>Matrouh</t>
  </si>
  <si>
    <t>شمال سيناء</t>
  </si>
  <si>
    <t>North Sinai</t>
  </si>
  <si>
    <t>جنوب سيناء</t>
  </si>
  <si>
    <t>South Sinai</t>
  </si>
  <si>
    <t>محافظة بورسعيد والاقصر لم يرد منهم بيانات لانضمام مستشفياتهم الى التأمين الصحى الشامل</t>
  </si>
  <si>
    <t>جدول(6)</t>
  </si>
  <si>
    <t>Table(6)</t>
  </si>
  <si>
    <t>ذكور</t>
  </si>
  <si>
    <t>اناث</t>
  </si>
  <si>
    <t>غير معلوم</t>
  </si>
  <si>
    <t>الجملة</t>
  </si>
  <si>
    <t>male</t>
  </si>
  <si>
    <t>female</t>
  </si>
  <si>
    <t>unknown</t>
  </si>
  <si>
    <t>total</t>
  </si>
  <si>
    <t>جدول(7)</t>
  </si>
  <si>
    <t>Table(7)</t>
  </si>
  <si>
    <t>Male</t>
  </si>
  <si>
    <t>Female</t>
  </si>
  <si>
    <t>جدول(8)</t>
  </si>
  <si>
    <t>Table(8)</t>
  </si>
  <si>
    <t>اقل من 5</t>
  </si>
  <si>
    <t>ـــ5</t>
  </si>
  <si>
    <t>ــ15</t>
  </si>
  <si>
    <t>ــ25</t>
  </si>
  <si>
    <t>ــ35</t>
  </si>
  <si>
    <t>ــ45</t>
  </si>
  <si>
    <t>ــ55</t>
  </si>
  <si>
    <t>+65</t>
  </si>
  <si>
    <t>Less than 5</t>
  </si>
  <si>
    <t>65+</t>
  </si>
  <si>
    <t>جدول(9)</t>
  </si>
  <si>
    <t>Table(9)</t>
  </si>
  <si>
    <t>جدول(10)</t>
  </si>
  <si>
    <t>Table(10)</t>
  </si>
  <si>
    <t>مشاه / مار بالطريق</t>
  </si>
  <si>
    <t>سائق</t>
  </si>
  <si>
    <t>راكب</t>
  </si>
  <si>
    <t>راكب خارج المركبة</t>
  </si>
  <si>
    <t>اخري / غير معلوم</t>
  </si>
  <si>
    <t>pedestrian \pass by the road</t>
  </si>
  <si>
    <t>Driver</t>
  </si>
  <si>
    <t>passenger</t>
  </si>
  <si>
    <t>passenger outside the vehicle</t>
  </si>
  <si>
    <t>other\unknown</t>
  </si>
  <si>
    <t>جدول(11)</t>
  </si>
  <si>
    <t>Table(11)</t>
  </si>
  <si>
    <t>Passenger</t>
  </si>
  <si>
    <t>جدول(12)</t>
  </si>
  <si>
    <t>Table(12)</t>
  </si>
  <si>
    <t>سيارة</t>
  </si>
  <si>
    <t>قطار</t>
  </si>
  <si>
    <t>دراجه / مركبة ذات ثلاث عجلات</t>
  </si>
  <si>
    <t>اخري</t>
  </si>
  <si>
    <t>Car</t>
  </si>
  <si>
    <t>Train</t>
  </si>
  <si>
    <t>Bicycle\ Three-wheeled vehicle</t>
  </si>
  <si>
    <t>Others</t>
  </si>
  <si>
    <t>جدول(13)</t>
  </si>
  <si>
    <t>Table(13)</t>
  </si>
  <si>
    <t>جدول(14)</t>
  </si>
  <si>
    <t>Table(14)</t>
  </si>
  <si>
    <t>جدول(15)</t>
  </si>
  <si>
    <t>Table(15)</t>
  </si>
  <si>
    <t>جدول(16)</t>
  </si>
  <si>
    <t>Table(16)</t>
  </si>
  <si>
    <t>جدول(17)</t>
  </si>
  <si>
    <t>Table(17)</t>
  </si>
  <si>
    <t>جدول(18)</t>
  </si>
  <si>
    <t>Table(18)</t>
  </si>
  <si>
    <t>جدول(19)</t>
  </si>
  <si>
    <t>Table(19)</t>
  </si>
  <si>
    <t>جدول(20)</t>
  </si>
  <si>
    <t>Table(20)</t>
  </si>
  <si>
    <t>مار بالطريق</t>
  </si>
  <si>
    <t>اخرى /غير معلوم</t>
  </si>
  <si>
    <t>جدول(21)</t>
  </si>
  <si>
    <t>Table(21)</t>
  </si>
  <si>
    <t>جدول(22)</t>
  </si>
  <si>
    <t>Table(22)</t>
  </si>
  <si>
    <t>سياره</t>
  </si>
  <si>
    <t>Motorcycle</t>
  </si>
  <si>
    <t>جدول(23)</t>
  </si>
  <si>
    <t>Table(23)</t>
  </si>
  <si>
    <t>جدول(24)</t>
  </si>
  <si>
    <t>Table(24)</t>
  </si>
  <si>
    <t>البيــــــان</t>
  </si>
  <si>
    <t>نسبة التغير</t>
  </si>
  <si>
    <t>Item</t>
  </si>
  <si>
    <t>Percentage change</t>
  </si>
  <si>
    <t>Number of Infected</t>
  </si>
  <si>
    <t>Cruelty rate (deceased / injured*100)</t>
  </si>
  <si>
    <t>معدل متوفى /100 الف نسمة</t>
  </si>
  <si>
    <t>Deceased / 100 thousand inhabitants</t>
  </si>
  <si>
    <t>معدل مصاب /100 الف نسمة</t>
  </si>
  <si>
    <t>Deceased / 100 thousand Infected</t>
  </si>
  <si>
    <t>جدول(25)</t>
  </si>
  <si>
    <t>Table(25)</t>
  </si>
  <si>
    <t>المحافظات</t>
  </si>
  <si>
    <t>عدد نقاط الاسعاف</t>
  </si>
  <si>
    <t>عدد سيارات الاسعاف</t>
  </si>
  <si>
    <t>عدد السكان التقديرى في منتصف العام</t>
  </si>
  <si>
    <t>مركز اسعاف / 100 الف نسمه</t>
  </si>
  <si>
    <t>سيارة اسعاف / 25 الف نسمه</t>
  </si>
  <si>
    <t>Number of points</t>
  </si>
  <si>
    <t>Number of cars</t>
  </si>
  <si>
    <t>جملة</t>
  </si>
  <si>
    <t>Ambulance center/ 100,000 people</t>
  </si>
  <si>
    <t>Ambulance / 25,000 people</t>
  </si>
  <si>
    <t>القاهرة</t>
  </si>
  <si>
    <t>الإسكندريـــــة</t>
  </si>
  <si>
    <t>Port Said</t>
  </si>
  <si>
    <t>الدقهليـــــــة</t>
  </si>
  <si>
    <t>الشرقيــــــة</t>
  </si>
  <si>
    <t>القليوبيــــــة</t>
  </si>
  <si>
    <t>كفر الشيـــخ</t>
  </si>
  <si>
    <t>الغربية</t>
  </si>
  <si>
    <t>المنوفيــــــة</t>
  </si>
  <si>
    <t>البحيرة</t>
  </si>
  <si>
    <t>الاسماعيلية</t>
  </si>
  <si>
    <t>الجيـــــــــزة</t>
  </si>
  <si>
    <t>أسيوط</t>
  </si>
  <si>
    <t>أسوان</t>
  </si>
  <si>
    <t>جدول(26)</t>
  </si>
  <si>
    <t>Table(26)</t>
  </si>
  <si>
    <t>م</t>
  </si>
  <si>
    <t>اسم الطريق</t>
  </si>
  <si>
    <t>المحافظات التي يمر بها الطريق</t>
  </si>
  <si>
    <t>النقاط الأكثر خطورة</t>
  </si>
  <si>
    <t>القاهرة - السويس الصحراوى</t>
  </si>
  <si>
    <t>القاهرة - الإسماعيلية - بورسعيد الصحراوى</t>
  </si>
  <si>
    <t>القليوبية</t>
  </si>
  <si>
    <t>الشرقية</t>
  </si>
  <si>
    <t>الإسماعيلية</t>
  </si>
  <si>
    <t>المنوفية</t>
  </si>
  <si>
    <t>الإسكندرية</t>
  </si>
  <si>
    <t>الجيزة</t>
  </si>
  <si>
    <t>بنها - الزقازيق الزراعى</t>
  </si>
  <si>
    <t>الدقهلية</t>
  </si>
  <si>
    <t>القاهرة - الفيوم الصحراوى</t>
  </si>
  <si>
    <t>قنا - سفاجا</t>
  </si>
  <si>
    <t>محور الضبعة</t>
  </si>
  <si>
    <t>شبرا - بنها</t>
  </si>
  <si>
    <t>شرق النفق - شرم الشيخ القديم</t>
  </si>
  <si>
    <t>شرم الشيخ الدولى الجديد</t>
  </si>
  <si>
    <t>ديروط - الفرافرة</t>
  </si>
  <si>
    <t>الفرافرة - عين دلة</t>
  </si>
  <si>
    <t>الخارجة - باريس</t>
  </si>
  <si>
    <t>الأقصر - بغداد</t>
  </si>
  <si>
    <t>الخارجة - الداخلة</t>
  </si>
  <si>
    <t>الداخلة - الفرافرة</t>
  </si>
  <si>
    <t>الواحات البحرية - الفرافرة</t>
  </si>
  <si>
    <t>الفيوم - بنى سويف الزراعى</t>
  </si>
  <si>
    <t>الطريق السياحى بالفيوم</t>
  </si>
  <si>
    <t>طريق 36 الحربى</t>
  </si>
  <si>
    <t>الزقازيق - ميت غمر</t>
  </si>
  <si>
    <t>الزقازيق - ديرب نجم - السنبلاوين</t>
  </si>
  <si>
    <t>الزقازيق - الحسنة - بحر البقر - الملاحة - بورسعيد</t>
  </si>
  <si>
    <t>دمياط - المنصورة الشرقى</t>
  </si>
  <si>
    <t>الغربية - المنصورة - دمياط الغربى</t>
  </si>
  <si>
    <t>طنطا - كفر الشيخ - بلطيم ( الرافد الدولى)</t>
  </si>
  <si>
    <t>المحلة - كفرالشيخ</t>
  </si>
  <si>
    <t>الطور - كاترين</t>
  </si>
  <si>
    <t>شرم الشيخ - نوبيع - طابا</t>
  </si>
  <si>
    <t>جنيفة</t>
  </si>
  <si>
    <t>سوهاج - سفاجا</t>
  </si>
  <si>
    <t>جدول(27)</t>
  </si>
  <si>
    <t>Table(27)</t>
  </si>
  <si>
    <t>العدد</t>
  </si>
  <si>
    <t>عدد الركاب بالمليون
Number of passengers per million</t>
  </si>
  <si>
    <t>المعدل/ مليون راكب</t>
  </si>
  <si>
    <t>نتائج حوادث /10000 نسمة</t>
  </si>
  <si>
    <t>number</t>
  </si>
  <si>
    <t>Average / million passengers</t>
  </si>
  <si>
    <t>accident / 10,000 inhabitants</t>
  </si>
  <si>
    <t>حوادث مسئولية الهيئة و مسئولية الغير</t>
  </si>
  <si>
    <t>المتوفين</t>
  </si>
  <si>
    <t>المصابين</t>
  </si>
  <si>
    <t>number of Estimated population in the middle of the year</t>
  </si>
  <si>
    <t>Accidents ENR and Others liability</t>
  </si>
  <si>
    <t>Death</t>
  </si>
  <si>
    <t>Infected</t>
  </si>
  <si>
    <t>جدول(28)</t>
  </si>
  <si>
    <t>Table(28)</t>
  </si>
  <si>
    <t>حوادث مسئولية الهيئة</t>
  </si>
  <si>
    <t>حوادث مسئولية الغير</t>
  </si>
  <si>
    <t>حوادث الاشخاص</t>
  </si>
  <si>
    <t>حوادث العاملين بالهيئة</t>
  </si>
  <si>
    <t>ENR liability</t>
  </si>
  <si>
    <t>Others liability</t>
  </si>
  <si>
    <t>person accidents</t>
  </si>
  <si>
    <t>other accidents</t>
  </si>
  <si>
    <t>جدول(29)</t>
  </si>
  <si>
    <t>Table(29)</t>
  </si>
  <si>
    <t>السنوات years</t>
  </si>
  <si>
    <t>نتائج الحوادث
Accidents results</t>
  </si>
  <si>
    <t>معدل الخطورة ( متوفى او مصاب/ حادثة)</t>
  </si>
  <si>
    <t>معدل قسوة الحادث ( متوفى / مصاب * 100)</t>
  </si>
  <si>
    <t>معدل الوفاة (متوفى / شهر)</t>
  </si>
  <si>
    <t>معدل الاصابة (مصاب / شهر)</t>
  </si>
  <si>
    <t>معدل الوفيات مع الاصابات</t>
  </si>
  <si>
    <t>متوفين</t>
  </si>
  <si>
    <t>مصابين</t>
  </si>
  <si>
    <t>اجمالى</t>
  </si>
  <si>
    <t>Severity rate(death or injured / accident)</t>
  </si>
  <si>
    <t>Death rate (Deceased / month)</t>
  </si>
  <si>
    <t>Infection rate (infected / month)</t>
  </si>
  <si>
    <t>FWSI</t>
  </si>
  <si>
    <t>جدول(30)</t>
  </si>
  <si>
    <t>Table(30)</t>
  </si>
  <si>
    <t>المناطق</t>
  </si>
  <si>
    <t>Region</t>
  </si>
  <si>
    <t>central region</t>
  </si>
  <si>
    <t>East Delta</t>
  </si>
  <si>
    <t>غرب الدلتا</t>
  </si>
  <si>
    <t>West Delta</t>
  </si>
  <si>
    <t>Mid Delta</t>
  </si>
  <si>
    <t>الوسطى</t>
  </si>
  <si>
    <t>Mid Region</t>
  </si>
  <si>
    <t>South Region</t>
  </si>
  <si>
    <t>جدول(31)</t>
  </si>
  <si>
    <t>Table(31)</t>
  </si>
  <si>
    <t>المسئوليه</t>
  </si>
  <si>
    <t>عدد الحوادث
Accidents</t>
  </si>
  <si>
    <t>liability</t>
  </si>
  <si>
    <t>غير جسيم</t>
  </si>
  <si>
    <t>جسيم</t>
  </si>
  <si>
    <t>non serious</t>
  </si>
  <si>
    <t>serious</t>
  </si>
  <si>
    <t>Fatalities</t>
  </si>
  <si>
    <t>injuries</t>
  </si>
  <si>
    <t>جدول(32)</t>
  </si>
  <si>
    <t>Table(32)</t>
  </si>
  <si>
    <t>الحالات</t>
  </si>
  <si>
    <t>Cases</t>
  </si>
  <si>
    <t>Liability</t>
  </si>
  <si>
    <t>cairo</t>
  </si>
  <si>
    <t>شرق الدلتا
East Delta</t>
  </si>
  <si>
    <t>غرب الدلتا
West Delta</t>
  </si>
  <si>
    <t>وسط الدلتا
Mid Delta</t>
  </si>
  <si>
    <t>الوسطى
Mid Region</t>
  </si>
  <si>
    <t>الجنوبيه
South Region</t>
  </si>
  <si>
    <t>غير جسيم
non serious</t>
  </si>
  <si>
    <t>جسيم serious</t>
  </si>
  <si>
    <t>سقوط</t>
  </si>
  <si>
    <t>Derailment</t>
  </si>
  <si>
    <t>محاشرة</t>
  </si>
  <si>
    <t>Friction</t>
  </si>
  <si>
    <t>تصادم</t>
  </si>
  <si>
    <t>Collision</t>
  </si>
  <si>
    <t>تصادم بنهاية السكة</t>
  </si>
  <si>
    <t>Collision at track end</t>
  </si>
  <si>
    <t>مراكبه</t>
  </si>
  <si>
    <t>Moving trains colliding with a stopped one</t>
  </si>
  <si>
    <t>الاصطدام بعائق</t>
  </si>
  <si>
    <t>Collision against Obstacle</t>
  </si>
  <si>
    <t>Level Crossing accidents</t>
  </si>
  <si>
    <t>حرائق جرارات</t>
  </si>
  <si>
    <t>Fire on locos</t>
  </si>
  <si>
    <t>حرائق عربات</t>
  </si>
  <si>
    <t>Fire on coaches</t>
  </si>
  <si>
    <t>اجمالى حوادث مسئولية الهيئة</t>
  </si>
  <si>
    <t>Total ENR liability</t>
  </si>
  <si>
    <t>حوادث المعابر الغير قانونيه</t>
  </si>
  <si>
    <t>Illegal Crossing accidents</t>
  </si>
  <si>
    <t>اجمالى حوادث مسئولية الغير</t>
  </si>
  <si>
    <t>ركاب</t>
  </si>
  <si>
    <t>passengers</t>
  </si>
  <si>
    <t>مستخدم مزلقان</t>
  </si>
  <si>
    <t>user Level Crossing</t>
  </si>
  <si>
    <t>التواجد بمكان غير مصرح به</t>
  </si>
  <si>
    <t>Being in an unauthorized place</t>
  </si>
  <si>
    <t>اجمالى حوادث الاشخاص</t>
  </si>
  <si>
    <t>Total person accidents</t>
  </si>
  <si>
    <t>ENR employees</t>
  </si>
  <si>
    <t>جدول(33)</t>
  </si>
  <si>
    <t>Table(33)</t>
  </si>
  <si>
    <t>death</t>
  </si>
  <si>
    <t>Annually</t>
  </si>
  <si>
    <t>حوادث السيارات والقطارات</t>
  </si>
  <si>
    <t>Car and Train Accidents</t>
  </si>
  <si>
    <t>اجمالى عدد وفيات حوادث الطرق حسب نوع المركبه خلال الفترة (2020-2024 )</t>
  </si>
  <si>
    <t>Total number of road accident deaths by type of vehicle during the period (2020-2024)</t>
  </si>
  <si>
    <t>اجمالى عدد وفيات الطرق حسب نوع المركبه علي مستوي المحافظات عن عام 2024</t>
  </si>
  <si>
    <t>Total Number of Road Deaths by Type of Vehicle at the Governorate Level for 2024</t>
  </si>
  <si>
    <t>معدلات حوادث السيارات على الطرق ونسب التغير خلال عامى ( 2023 ، 2024 )</t>
  </si>
  <si>
    <t>Road vehicle accident rates and Percentage of change during the years (2023, 2024)</t>
  </si>
  <si>
    <t>(10.3)</t>
  </si>
  <si>
    <t>7.5</t>
  </si>
  <si>
    <t>(16.9)</t>
  </si>
  <si>
    <t>(12.5)</t>
  </si>
  <si>
    <t>عدد مراكز الاسعاف منسوبا لعدد السكان على مستوى المحافظات عام 2024</t>
  </si>
  <si>
    <t>Number of ambulance centers in proportion to the population at the governorate level in 2024</t>
  </si>
  <si>
    <t>موتوسيكل</t>
  </si>
  <si>
    <t>ابريل-25</t>
  </si>
  <si>
    <t>Apr-25</t>
  </si>
  <si>
    <t>نتائج حـوادث السيـارات والقطارات خلال الفتـرة ( 2020-2024 )</t>
  </si>
  <si>
    <t>عدد نتائج الحـوادث (السيـارات والقطارات) ومعدل القسوة خلال الفتـرة ( 2020-2024 )</t>
  </si>
  <si>
    <t>معدل الاصابة والوفاه في حوادث السيارات على الطرق ( مصاب او متوفى/ 100 ألف نسمة) خلال الفترة ( 2020 - 2024 )</t>
  </si>
  <si>
    <t>اجمالى عدد اصابات حوادث الطرق حسب شهور السنة خلال الفترة ( 2020-2024 )</t>
  </si>
  <si>
    <t>Total number of road accident injuries by months of the year during the period ( 2020 - 2024 )</t>
  </si>
  <si>
    <t>اجمالى عدد المتوفين حوادث الطرق حسب شهور السنة خلال الفترة ( 2020 - 2024 )</t>
  </si>
  <si>
    <t>اجمالى مصابي حوادث الطرق حسب النوع خلال الفتـرة ( 2020-2024 )</t>
  </si>
  <si>
    <t>توزيع مصابي حوادث الطرق حسب فئات السن خلال الفتـرة ( 2020-2024 )</t>
  </si>
  <si>
    <t>اجمالى عدد اصابات حوادث الطرق حسب مستخدم الطريق ( 2020-2024 )</t>
  </si>
  <si>
    <t>بيان بعدد اصابات حوادث الطرق حسب نوع المركبه خلال الفترة ( 2020-2024 )</t>
  </si>
  <si>
    <t>اجمالى متوفين حوادث الطرق حسب النوع خلال الفتـرة ( 2020-2024 )</t>
  </si>
  <si>
    <t>توزيع متوفين حوادث الطرق حسب فئات السن خلال الفتـرة ( 2020-2024 )</t>
  </si>
  <si>
    <t>اجمالى عدد الوفيات حوادث الطرق حسب مستخدم الطريق ( 2020-2024 )</t>
  </si>
  <si>
    <t>اجمالى عدد وفيات حوادث الطرق حسب نوع المركبه خلال الفترة ( 2020-2024 )</t>
  </si>
  <si>
    <t>معدل حوادث القطارات مسئولية الهيئة ومسئولية الغير والمتوفين والمصابين مقارنة بإجمالى عدد الركاب خلال الفترة ( 2020-2024 )</t>
  </si>
  <si>
    <t>عدد حوادث القطارات تبعاً للمسؤلية خلال الفترة من ( 2020-2024 )</t>
  </si>
  <si>
    <t>عدد حوادث القطارات مسئولية الهيئة وومسئولية الغير ونتائجها ومعدل الخطورة ومعدل القسوة خلال الفترة من ( 2020-2024 )</t>
  </si>
  <si>
    <t>بيان بعدد اصابات حوادث الطرق بالمحافظات حسب شهور السنة عام 2024</t>
  </si>
  <si>
    <t>توزيع مصابي حوادث الطرق بالمحافظات حسب النوع عام 2024</t>
  </si>
  <si>
    <t>توزيع مصابي حوادث الطرق بالمحافظات حسب فئات السن عام 2024</t>
  </si>
  <si>
    <t>بيان بعدد اصابات حوادث الطرق بالمحافظات حسب مستخدم الطريق عام 2024</t>
  </si>
  <si>
    <t>بيان بعدد اصابات الطرق حسب نوع المركبه علي مستوي المحافظات عن عام 2024</t>
  </si>
  <si>
    <t>عدد متوفين حوادث الطرق حسب شهور السنة علي مستوي المحافظات 2024</t>
  </si>
  <si>
    <t>توزيع متوفين حوادث الطرق حسب النوع علي المستوي المحافظات 2024</t>
  </si>
  <si>
    <t>توزيع متوفين حوادث الطرق حسب فئات السن علي مستوي المحافظات 2024</t>
  </si>
  <si>
    <t>اجمالى عدد الوفيات حوادث الطرق حسب مستخدم الطريق علي مستوي المحافظات عام 2024</t>
  </si>
  <si>
    <t>النقاط الأكثر خطورة على الطرق ونقاط الإسعاف وعدد السيارات لعام 2024</t>
  </si>
  <si>
    <t>عدد حالات حوادث القطارات علي مستوي المناطق تبعاً للمسؤلية عام 2024</t>
  </si>
  <si>
    <t>توزيع عدد حالات حوادث القطارات ونتائجها تبعاً للمسؤلية عام 2024</t>
  </si>
  <si>
    <t>توزيع عدد حالات حوادث القطارات علي مستوي المناطق تبعاً للمسؤلية عام 2024</t>
  </si>
  <si>
    <t>Results of car and train accidents during the period (2020-2024)</t>
  </si>
  <si>
    <t>Number of accident results (cars and trains) and the rate of cruelty during the period  (2020-2024)</t>
  </si>
  <si>
    <t>Death Rate in Road Accidents (injured or deceased / 100 thousand inhabitants) during the period  (2020-2024)</t>
  </si>
  <si>
    <t>Total road accident injuries by type during the period  (2020-2024)</t>
  </si>
  <si>
    <t>Distribution of road accident injuries by age groups during the period  (2020-2024)</t>
  </si>
  <si>
    <t>Total number of road accident injuries by road user  (2020-2024)</t>
  </si>
  <si>
    <t>Statement of the number of road accident injuries by type of vehicle during the period  (2020-2024)</t>
  </si>
  <si>
    <t>Total number of road accident deaths by months of the year during the period  (2020-2024)</t>
  </si>
  <si>
    <t>Total road accident deaths by type during the period  (2020-2024)</t>
  </si>
  <si>
    <t>Distribution of road accident deaths by age groups during the period  (2020-2024)</t>
  </si>
  <si>
    <t>Total number of road accident deaths by road user  (2020-2024)</t>
  </si>
  <si>
    <t>Total number of road accident deaths by type of vehicle during the period  (2020-2024)</t>
  </si>
  <si>
    <t>Rate of Train Accidents responsibility of the authority and the responsibility of others , Death and Infected Compared to Total Number of Passengers during the Period  (2020-2024)</t>
  </si>
  <si>
    <t>Number of train accidents according to responsibility during the period  (2020-2024)</t>
  </si>
  <si>
    <t>Number of train accidents The responsibility of the authority and third parties, their consequences, the rate of danger and the rate of cruelty during the period from  (2020-2024)</t>
  </si>
  <si>
    <t>A statement of the number of road accident injuries in the governorates according to the months of the year in 2024</t>
  </si>
  <si>
    <t>Distribution of road accident injuries in the governorates by type in 2024</t>
  </si>
  <si>
    <t>Distribution of road accident injuries in the governorates by age groups in 2024</t>
  </si>
  <si>
    <t>A statement of the number of road accident injuries in the governorates by road user in 2024</t>
  </si>
  <si>
    <t>Statement of the number of road injuries by type of vehicle at goverantes level for 2024</t>
  </si>
  <si>
    <t>Number of road accident deaths by months of yeargroups at the Governoretes in 2024</t>
  </si>
  <si>
    <t>Distribution of road accident deaths by type at provincial level 2024</t>
  </si>
  <si>
    <t>Distribution of road accident deaths by age groups at the Governoretes level 2024</t>
  </si>
  <si>
    <t>Total number of road accident deaths by road usergroups at the Governoretes in 2024</t>
  </si>
  <si>
    <t>Most dangerous points on the roads, ambulance points and number of cars for the year 2024</t>
  </si>
  <si>
    <t>Number of train accidents cases at the district level, according to responsibility in 2024</t>
  </si>
  <si>
    <t>Distribution of the number of train accidents cases and their consequences according to responsibility in 2024</t>
  </si>
  <si>
    <t>Distribution of the number of train accidents at the district level according to responsibility in 2024</t>
  </si>
  <si>
    <t>Total number of road accident injuries by road user (2020-2024)</t>
  </si>
  <si>
    <t>بيان بعدد اصابات حوادث الطرق حسب نوع المركبه خلال الفترة (2020-2024 )</t>
  </si>
  <si>
    <t>Statement of the number of road accident injuries by type of vehicle during the period (2020-2024 )</t>
  </si>
  <si>
    <t>Results of car and train accidents during the period  (2020-2024)</t>
  </si>
  <si>
    <t>(24.5)</t>
  </si>
  <si>
    <t>(87.1)</t>
  </si>
  <si>
    <t>(90.8)</t>
  </si>
  <si>
    <t>6.0</t>
  </si>
  <si>
    <t>(8.1)</t>
  </si>
  <si>
    <t>Number of accident results (cars and trains) and the rate of cruelty during the period (2020-2024)</t>
  </si>
  <si>
    <t>معدل الاصابة والوفاه في حوادث السيارات على الطرق ( مصاب او متوفى/ 100 ألف نسمة) خلال الفترة ( 2020-2024 )</t>
  </si>
  <si>
    <t>Death Rate in Road Accidents (injured or deceased / 100 thousand inhabitants) during the period (2020-2024)</t>
  </si>
  <si>
    <t>(10.2)</t>
  </si>
  <si>
    <r>
      <t>(28)</t>
    </r>
    <r>
      <rPr>
        <sz val="11"/>
        <color theme="0"/>
        <rFont val="Tajawal"/>
      </rPr>
      <t>)</t>
    </r>
  </si>
  <si>
    <r>
      <t>(28.9)</t>
    </r>
    <r>
      <rPr>
        <sz val="11"/>
        <color theme="0"/>
        <rFont val="Tajawal"/>
      </rPr>
      <t>)</t>
    </r>
  </si>
  <si>
    <r>
      <t>(43.6)</t>
    </r>
    <r>
      <rPr>
        <sz val="11"/>
        <color theme="0"/>
        <rFont val="Tajawal"/>
      </rPr>
      <t>)</t>
    </r>
  </si>
  <si>
    <r>
      <t>(40.9)</t>
    </r>
    <r>
      <rPr>
        <sz val="11"/>
        <color theme="0"/>
        <rFont val="Tajawal"/>
      </rPr>
      <t>)</t>
    </r>
  </si>
  <si>
    <t>Total number of road accident deaths by months of the year during the period (2020 - 2024)</t>
  </si>
  <si>
    <t>اجمالى متوفين حوادث الطرق حسب النوع خلال الفتـرة (2020-2024 )</t>
  </si>
  <si>
    <t>Total road accident deaths by type during the period (2020-2024</t>
  </si>
  <si>
    <t>اجمالى عدد اصابات حوادث الطرق حسب شهور السنة خلال الفترة ( 2020 - 2024)</t>
  </si>
  <si>
    <t>اجمالى مصابي حوادث الطرق حسب النوع خلال الفتـرة (2020-2024 )</t>
  </si>
  <si>
    <t>Total road accident injuries by type during the period (2020-2024 )</t>
  </si>
  <si>
    <t>0</t>
  </si>
  <si>
    <t>Distribution of road accident injuries by age groups during the period (2020-2024)</t>
  </si>
  <si>
    <t>Distribution of road accident deaths by age groups during the period (2020-2024)</t>
  </si>
  <si>
    <t>Total number of road accident deaths by road user ( 2020-2024 )</t>
  </si>
  <si>
    <t xml:space="preserve">pass by the road </t>
  </si>
  <si>
    <t>pass by the road</t>
  </si>
  <si>
    <t xml:space="preserve">أمام الجامعه - طريق السلام كلا الإتجاهين </t>
  </si>
  <si>
    <t xml:space="preserve">القاهرة </t>
  </si>
  <si>
    <t xml:space="preserve">مناطق الكيلو 23 , 24 في الإتجاهين </t>
  </si>
  <si>
    <t xml:space="preserve">القليوبية </t>
  </si>
  <si>
    <t>أمام مدينة المستقبل - أمام سوق العبور- أمام أكوا بارك - صينية الفيروز</t>
  </si>
  <si>
    <t xml:space="preserve">الشرقية  </t>
  </si>
  <si>
    <t xml:space="preserve">مدخل العاشر - كوبري سيراميكا - كوبري الأردنية </t>
  </si>
  <si>
    <t xml:space="preserve">الإسماعيلية  </t>
  </si>
  <si>
    <t xml:space="preserve">من الكيلو 108 حتي الكيلو 110 ( منطقة المنايف ) - منطقة المعسكرات بعد محطة وقود طايع - إتجاه القاهرة - منطقة عز الدين للقادم من بورسعيد - إتجاه القاهرة منطقة السحر والجمال - صينية الغرب - الكيلو 17- الحرش - أمام الإستثمار - دوران شطا - أسفل كوبري المحور - أمام الخليجية </t>
  </si>
  <si>
    <t xml:space="preserve">القاهرة - الإسكندرية الزراعى </t>
  </si>
  <si>
    <t xml:space="preserve">أمام كوبرى الفرنوانى - كوبرى قلما - أمام نفق سندهور - مطلع كوبرى قليوب - مرور طوخ - مفارق المنصورة - مفارق سنديون - طلعة كوبرى قها - دوران سندنهور - عدد 2 دوران بمنطقة سنديون </t>
  </si>
  <si>
    <t xml:space="preserve">دوران أبنهس </t>
  </si>
  <si>
    <t xml:space="preserve">منطقة مزلقات كفر العيص - الكيلو 114 / دوران كفر الشيخ مخلوف - الكيلو 129 - منطقة مزلقات التوفيقية 118 / أمام مصنع سينيوريتا / الدلجمون - شبرا النملة - دوران محطة وقود الشرقاوي - الكيلو 123 / أمام شركة البترول / نزله كوبري النيل </t>
  </si>
  <si>
    <t xml:space="preserve">البحيرة </t>
  </si>
  <si>
    <t xml:space="preserve">عدد 2 دوران لقرية شبرا النوته ( إيتاي البارود ) - دوران قرية دنشال - دوران الإذاعة - دوران قرية اليمنية - أمام معهد الخدمة الاجتماعية - ومعهد بحوث الصحة الحيوانية بدمنهور - أمام كافتريا الشيخ محمد - معمل القزاز - بين أبو حمص كفر الدوار - قرية كفر مساعد - إيتاي البارود / أمام قرية البيضا - كفر الدوار - قرية أنور المفتي - أبو حمص  </t>
  </si>
  <si>
    <t xml:space="preserve">كمين أبيس - مدخل سموحة - مدخل الخشب - مطار النزهة </t>
  </si>
  <si>
    <t xml:space="preserve">القاهرة - الإسكندرية الصحراوى </t>
  </si>
  <si>
    <t xml:space="preserve">الجيزة </t>
  </si>
  <si>
    <t xml:space="preserve">الكيلو 6 - منطقة قطر الندي - من الكيلو 58 - حتي الكيلو 60 ( منطقة أبو غالب ) - الطريق بأكمله </t>
  </si>
  <si>
    <t xml:space="preserve">مدخل قرية التحدي - مدخل قرية الإمام مالك - أمام منطقة السجون - الكيلو 95 / الكيلو 102 - مدخل الدولي - الكيلو 62  / الكيلو 133 - مدخل التحدي - الكيلو 107 - مدخل الدلنجات </t>
  </si>
  <si>
    <t xml:space="preserve">كوبري العامرية - مدخل عبد القادر - أمام بتروجيت - منطقة عرابي - منطقة العامرية - منطقة المستعمرة - منطقة زوايه عبد القادر </t>
  </si>
  <si>
    <t xml:space="preserve">القاهرة - الإسماعيلية الزراعى </t>
  </si>
  <si>
    <t>كوبرى أبوشنب - أمام شركات البترول - مطلع مسطرد</t>
  </si>
  <si>
    <t xml:space="preserve"> كوبرى الشباب - المنير </t>
  </si>
  <si>
    <t xml:space="preserve">الكيلو 30 - مخرج من الطريق الداعم الرئيسي لمسافة 150 متر في الإتجاه القادم من ميدان الرمايه إتجاه الفيوم - من التجنيد إلي الدبابه - الكيلو 21 - الطريق بأكمله </t>
  </si>
  <si>
    <t xml:space="preserve"> مدخل جرفس - أمام مساكن ميمنة - كوبرى البرم - أسفل كوبرى بيهمو </t>
  </si>
  <si>
    <t>القاهرة - أسوان الصحراوى الغربى</t>
  </si>
  <si>
    <t xml:space="preserve">من الكيلو 45 وحتي الكيلو 120 ( في الإتجاهين ) - الطريق بأكمله </t>
  </si>
  <si>
    <t xml:space="preserve">الفيوم </t>
  </si>
  <si>
    <t xml:space="preserve">أمام صوامع قصر الباسل / أمام مدينة الفيوم / مطلع كوبري الواسطي - مدخل أبو صير - بني سويف في الإتجاه القادم من أسيوط - بين جرزا وطهما / مطلع 55 بعد الإقليمي </t>
  </si>
  <si>
    <t xml:space="preserve"> بنى سويف</t>
  </si>
  <si>
    <t xml:space="preserve">أمام الصوامع - كمين سمسطا </t>
  </si>
  <si>
    <t xml:space="preserve"> المنيا</t>
  </si>
  <si>
    <t xml:space="preserve">بحري البهنسا / بحري بلنصورة - محور سمالوط / مدخل مصنع السكر - بحري كارته المنيا </t>
  </si>
  <si>
    <t xml:space="preserve">قبلي كمين القوصيه - بحري بوابة أسيوط - قبلي أسمنت التعمير </t>
  </si>
  <si>
    <t xml:space="preserve">قرب مصنع الأسمنت </t>
  </si>
  <si>
    <t xml:space="preserve">مدخل الدير الغربي / مدخل بركه - إتجاه نجع حمادي - المزرعه اليابانية - مركز الوقف / كمين الكرنك - قنا - الوادي الجديد الغربي - مدخل الزوايده - مركز نقادة </t>
  </si>
  <si>
    <t xml:space="preserve">أسوان </t>
  </si>
  <si>
    <t>الصينية</t>
  </si>
  <si>
    <t>القاهرة - أسوان الصحراوى الشرقي</t>
  </si>
  <si>
    <t xml:space="preserve">المنيا </t>
  </si>
  <si>
    <t xml:space="preserve">نفق سنور / بحري وقبلي مدخل ملوي - بحري بوابة الرسوم - بحري وقبلي مدخل بني حسن </t>
  </si>
  <si>
    <t xml:space="preserve">أسيوط </t>
  </si>
  <si>
    <t xml:space="preserve">الكيلو 25 - أول نفق إتجاه القاهرة </t>
  </si>
  <si>
    <t xml:space="preserve">بني سويف </t>
  </si>
  <si>
    <t xml:space="preserve">نفق أبو صالح - نفق سينور </t>
  </si>
  <si>
    <t xml:space="preserve">سوهاج </t>
  </si>
  <si>
    <t xml:space="preserve">المسافة من الكيلو 45 إلي الكيلو 80 </t>
  </si>
  <si>
    <t xml:space="preserve">قنا </t>
  </si>
  <si>
    <t>دوران سوهاج مع سفاجا في الإتجاه البحري والقبلي</t>
  </si>
  <si>
    <t xml:space="preserve">القاهرة - أسوان الزراعي  الغربي </t>
  </si>
  <si>
    <t xml:space="preserve">نقطة مفارق جرزا </t>
  </si>
  <si>
    <t xml:space="preserve">كوبري النيل - بني مزار - محور سمالوط - قبلي أبو قرقاص </t>
  </si>
  <si>
    <t xml:space="preserve">بحري المحرص - بحري الروضه - كوبري النيل - بني مزار </t>
  </si>
  <si>
    <t xml:space="preserve">طريق الأربعين </t>
  </si>
  <si>
    <t xml:space="preserve">عزبه روفائيل / مدخل بني رافع - مدخل بني شقير / عزبه الدارين - ملف أبو عزيز / مدخل شطب </t>
  </si>
  <si>
    <t xml:space="preserve">مطلع كوبري المرج المستحدث إتجاه الزراعي / قبل منزل مسطرود إتجاه نفق السلام - أسفل كوبري محمد فوزي في الإتجاه القديم من التجمع الخامس - إتجاه المنيب - برج سما القادم من التجمع الخامس - إتجاه المنيب / أمام منزل الجزائر - إتجاه التجمع </t>
  </si>
  <si>
    <t xml:space="preserve">منطقه القومية في الإتجاهين - منطقه صفط اللبن في الإتجاهين - تحديدا مطلع كوبري الجامعة ومنزل صفط اللبن - حي الهرم وكفر طهرمس في الإتجاهين </t>
  </si>
  <si>
    <t xml:space="preserve">أمام أبراج سما - دائري المعادي </t>
  </si>
  <si>
    <t xml:space="preserve">أعلي قسم  البساتين - دائري المعادي </t>
  </si>
  <si>
    <t xml:space="preserve"> الجيزة </t>
  </si>
  <si>
    <t xml:space="preserve">دائري الوراق - محور صفط اللبن - دائري المنيب </t>
  </si>
  <si>
    <t>تقاطع شبرا - بنها مع الدائري / أمام نزلة الخصوص - بين نزلة المرج والخصوص إتجاه الجيزة / أمام نزلة باسوس بين نزله بهتيم و مسطرد إتجاه السلام</t>
  </si>
  <si>
    <t>القاهرة - بلبيس الصحراوى</t>
  </si>
  <si>
    <t xml:space="preserve">الكيلو 26 أمام معهد العبور </t>
  </si>
  <si>
    <t xml:space="preserve"> الشرقية</t>
  </si>
  <si>
    <t xml:space="preserve">كوبري بردين / أبو سمران - مدخل بلبيس / أمام المظلات - أسفل الإقليمي </t>
  </si>
  <si>
    <t xml:space="preserve">الكيلو 48 - نقطه تقاطع الطريق الإقليمي مع طريق بلبيس </t>
  </si>
  <si>
    <t xml:space="preserve">القطامية - السخنة </t>
  </si>
  <si>
    <t xml:space="preserve">القاهرة  </t>
  </si>
  <si>
    <t xml:space="preserve">أمام محطة وقود المستر - مدخل المدينة الأولمبية - كافتريا الغزلان </t>
  </si>
  <si>
    <t xml:space="preserve">السويس </t>
  </si>
  <si>
    <t xml:space="preserve">أمام مطاحن الخمس نجوم أول طريق السخنة - كلا الإتجاهين </t>
  </si>
  <si>
    <t>بورسعيد - دمياط</t>
  </si>
  <si>
    <t xml:space="preserve">دمياط </t>
  </si>
  <si>
    <t xml:space="preserve">كمين شطا - المطار- أمام حلواني الزيني وبدوي </t>
  </si>
  <si>
    <t xml:space="preserve">مدخل ترعة السلام / بنزينه عزه الكاشف - أمام الحوراني / شرمساح - مدخل الغنيمة </t>
  </si>
  <si>
    <t xml:space="preserve">قرية الخياريه - بداوي </t>
  </si>
  <si>
    <t xml:space="preserve">المنصورة - المطرية </t>
  </si>
  <si>
    <t xml:space="preserve">الدقهلية </t>
  </si>
  <si>
    <t xml:space="preserve">شها - كفر علام </t>
  </si>
  <si>
    <t xml:space="preserve">الحسينية - المنزلة - بورسعيد </t>
  </si>
  <si>
    <t>كمين الإسكندرية الجديد - المنطقة الصناعية بالعصافره - مسجد إبن السلام - الطريق الجديد</t>
  </si>
  <si>
    <t xml:space="preserve">كفر صقر - السنبلاوين </t>
  </si>
  <si>
    <t xml:space="preserve">برقين - مدخل البلد </t>
  </si>
  <si>
    <t xml:space="preserve">ديرب نجم - سندوب - المنصورة </t>
  </si>
  <si>
    <t xml:space="preserve">شاوه </t>
  </si>
  <si>
    <t xml:space="preserve">الصالحية - فاقوس </t>
  </si>
  <si>
    <t xml:space="preserve">الشرقية </t>
  </si>
  <si>
    <t>مفارق أبو كراسيع - مدخل الحج عمر</t>
  </si>
  <si>
    <t>الزقازيق - أولاد صقر</t>
  </si>
  <si>
    <t xml:space="preserve">أمام أبو الشقوق - أمام كوبري الميزانية - مدخل كفر صقر </t>
  </si>
  <si>
    <t xml:space="preserve">أم الزين - مدخل منيا القمح - الأشراف </t>
  </si>
  <si>
    <t xml:space="preserve">أمام مصنع الصوفي </t>
  </si>
  <si>
    <t xml:space="preserve">أمام اكوة - أمام القنايات </t>
  </si>
  <si>
    <t xml:space="preserve">الملاحة - مدخل صان الحجر </t>
  </si>
  <si>
    <t xml:space="preserve">قبل مدخل العدوه - إتجاه ههيا - أمام أبو ياسين - مدخل قاقوس </t>
  </si>
  <si>
    <t xml:space="preserve">مدخل كوبري جنيفة - أمام المركز الطبي العالمي </t>
  </si>
  <si>
    <t xml:space="preserve">مخــرج طريــق جنيفــة - نهايــة الطريــق القــديم إتجــاه السويــس - قبل بورتــو - طريــق السخنــة إتجــاه السـويــس ب 2 كيلو </t>
  </si>
  <si>
    <t xml:space="preserve">تقاطع الطريق مع الإقليمي نزلة بنها  - قبل نزلة الزقازيق بحوالي 5 كم - قبل البوابات بين شبرا و بوابة الرسوم </t>
  </si>
  <si>
    <t xml:space="preserve">القليوبية  </t>
  </si>
  <si>
    <t>أمام كمين شبلنجة - مفارق الزقازيق</t>
  </si>
  <si>
    <t xml:space="preserve">الزنكلون / أمام العزيزية - مدخل منيا القمح </t>
  </si>
  <si>
    <t xml:space="preserve">بنها - المنصورة الزراعى </t>
  </si>
  <si>
    <t xml:space="preserve">القليوبية   </t>
  </si>
  <si>
    <t xml:space="preserve">مطلع الاقليمى  - أمام كوبري أسنيت - أمام مظلوم للسيراميك </t>
  </si>
  <si>
    <t xml:space="preserve">كفر عوض - كوبري أبو نبهان - كفر النعيم </t>
  </si>
  <si>
    <t xml:space="preserve">مفارق المستقبل - مفارق نصار - مفارق العنب </t>
  </si>
  <si>
    <t xml:space="preserve">مفارق أبو نصار - أمام مدخل الصالحية - قبل صينية القصاصين </t>
  </si>
  <si>
    <t xml:space="preserve">الغربية </t>
  </si>
  <si>
    <t xml:space="preserve">كارفور - الخيال / مفارق صفط تراب / أمام مصنع القاضي - أمام الراهبين - محلة خلف </t>
  </si>
  <si>
    <t xml:space="preserve">بطره / كوبري شرنقاش - كمين رأس الخليج - قرية السعدية </t>
  </si>
  <si>
    <t xml:space="preserve"> دمياط</t>
  </si>
  <si>
    <t xml:space="preserve">أمام قرية الاسماعيلية - أمام سعد البلد / أسفل كوبري فارسكور - كمين السلام </t>
  </si>
  <si>
    <t xml:space="preserve">الأمن المركزي - نزله قطور من الدولي </t>
  </si>
  <si>
    <t>فيلا يونس عبد الرازق - كوبري 83 - مدخل الحصفة - كوبري كلش - مدخل أبو ريا</t>
  </si>
  <si>
    <t>نزلة المعتمدية و الجبرية</t>
  </si>
  <si>
    <t>مدخل أبو عمر - وحتي الكوبري الأزرق  - كوبري متبول</t>
  </si>
  <si>
    <t>وادى النطرون - العلمين</t>
  </si>
  <si>
    <t>ك 4 عند قرية سند - ك 15 أبناء الغربية - ك 25 دير موسي الأسود - ك 35 - ك 55 - ك 65 - ك 70 مدخل طريق جبل حامد</t>
  </si>
  <si>
    <t>محور روض الفرج</t>
  </si>
  <si>
    <t xml:space="preserve"> طريق الواحات</t>
  </si>
  <si>
    <t xml:space="preserve">الطريق بأكمله - وصله أبو غالب </t>
  </si>
  <si>
    <t>طريق المريوطية</t>
  </si>
  <si>
    <t xml:space="preserve">بداية من شارع الهرم وحتي شارع جامعة الدول </t>
  </si>
  <si>
    <t xml:space="preserve">محور الفريق كمال عامر </t>
  </si>
  <si>
    <t xml:space="preserve">الكيلو 21 حلوان - الكريمات </t>
  </si>
  <si>
    <t xml:space="preserve">من الأخصاص إلي الكداية </t>
  </si>
  <si>
    <t xml:space="preserve">محور 26 يوليو </t>
  </si>
  <si>
    <t xml:space="preserve">الطريق بأكمله </t>
  </si>
  <si>
    <t xml:space="preserve">المناشي - الخطاطبة </t>
  </si>
  <si>
    <t xml:space="preserve">أمام دير العزب - أسفل كوبري أسيوط - أمام قرية دمشقين هواره </t>
  </si>
  <si>
    <t xml:space="preserve">ملف جزيزة البط ـ مفارق اللؤلؤة ـ مدخل الجيلاني مركز أبشواي ـ أمام قرية الصبيحي ـ بوابة وادي الريان </t>
  </si>
  <si>
    <t>الفيوم - بني سويف الجديد</t>
  </si>
  <si>
    <t xml:space="preserve">مدخل طريق أسيوط قبل المساكن </t>
  </si>
  <si>
    <t xml:space="preserve">الصحراوى الشرقى القديم </t>
  </si>
  <si>
    <t xml:space="preserve"> مدخل دير العذراء / بحري بني حسن - محور سمالوط - محور البرشا </t>
  </si>
  <si>
    <t xml:space="preserve">مدخل حوطة - بحري النقب </t>
  </si>
  <si>
    <t xml:space="preserve">أسيوط - الغنايم </t>
  </si>
  <si>
    <t>مدخل المشايعه - مدخل دير ريفا - كافيتيريا عرب أسيوط</t>
  </si>
  <si>
    <t xml:space="preserve">أسيوط - أسوان الزراعي الشرقي </t>
  </si>
  <si>
    <t xml:space="preserve">كوبري الجمصة </t>
  </si>
  <si>
    <t xml:space="preserve">كوبري المخزن - كوبري العبودي - مدخل الشيخ عيسي </t>
  </si>
  <si>
    <t>الكيلو 100</t>
  </si>
  <si>
    <t>ك 45 - ك 61 - ك 19 - مصنع أسمنت النهضة</t>
  </si>
  <si>
    <t>قفط - القصير</t>
  </si>
  <si>
    <t xml:space="preserve">نقط متعددة بالطريق عبارة عن تهالك بالطريق </t>
  </si>
  <si>
    <t xml:space="preserve">أبو سمبل السياحي الدولي </t>
  </si>
  <si>
    <t xml:space="preserve">الكيلو 55 - الكيلو 140- مدخل توشكا </t>
  </si>
  <si>
    <t xml:space="preserve">البحر الأحمر الساحلي الشرقي </t>
  </si>
  <si>
    <t xml:space="preserve">البحر الأحمر </t>
  </si>
  <si>
    <t xml:space="preserve">عند دير الأنبا بولا </t>
  </si>
  <si>
    <t xml:space="preserve">الكيلو 70 من الفرافرة - الكيلو 190 من الفرافرة </t>
  </si>
  <si>
    <t>ك 70 من الفرافرة</t>
  </si>
  <si>
    <t xml:space="preserve">الداخلة - بئر طرفاوى - ش. العوينات </t>
  </si>
  <si>
    <t xml:space="preserve">ك 25 من الدخلة ـ ك 120 من الدخلة - ك 200 من الدخلة ـ ك 290 من الدخلة </t>
  </si>
  <si>
    <t xml:space="preserve"> الخارجة - أسيوط</t>
  </si>
  <si>
    <t>أمام شركة الأسمنت</t>
  </si>
  <si>
    <t xml:space="preserve">ك 20 من الخارجة ـ ك 75 من الخارجة ـ ك 130 من الخارجة </t>
  </si>
  <si>
    <t xml:space="preserve">ك 10 من الخارجة ـ ك 25 من الخارجة ـ ك 50 من الخارجة ـ ك 80 من الخارجة </t>
  </si>
  <si>
    <t>باريس - قرى الشب - شرق العوينات</t>
  </si>
  <si>
    <t xml:space="preserve">ك 15 من بغداد ـ ك 160 من بغداد ـ ك 190 من بغداد </t>
  </si>
  <si>
    <t xml:space="preserve">ك  40 من الخارجة ـ ك 100 من الخارجة ـ ك 145 من الخارجة ـ ك 190 من الخارجة </t>
  </si>
  <si>
    <t xml:space="preserve">ك 10 من الداخلة ـ ك 35 من الدخلة ـ ك 65 من الدخلة ـ ك 180 من الدخلة ـ ك 230 من الدخلة </t>
  </si>
  <si>
    <t xml:space="preserve">ك 35 من الفرافرة </t>
  </si>
  <si>
    <t>الاسماعيلية - منفذ العوجة</t>
  </si>
  <si>
    <t xml:space="preserve">شمال سيناء </t>
  </si>
  <si>
    <t xml:space="preserve">منطقه الحمة - الطريق الجديدة - خلف مصنع الأسمنت - منطقة مجمع الصناعات </t>
  </si>
  <si>
    <t xml:space="preserve">السويس - الوسط - طابا </t>
  </si>
  <si>
    <t xml:space="preserve">بين التمد والنقب </t>
  </si>
  <si>
    <t xml:space="preserve">مدخل أبو صويرة - ملفات أبو زنيمة </t>
  </si>
  <si>
    <t xml:space="preserve">أمـام مصنــع الجبــس - حمـام فرعـون - بعـد كارتـة الساحــل - 10 كيـلو إتجـاه النفـق - بعـد كارتـة المفــارق ب 15 كيلو - إتجاه الطور </t>
  </si>
  <si>
    <t>الكيلو 50 القادم من شرم - إتجاه النفق</t>
  </si>
  <si>
    <t xml:space="preserve">بعد المفارق ب 10 كيلو - كمين الجيش - عرب الحسوة </t>
  </si>
  <si>
    <t xml:space="preserve">مدخل الرويسات / مطلع ونازلة الصاعدة - بين خريزة والدائري - كمين مدسوس </t>
  </si>
  <si>
    <t xml:space="preserve">كاترين - نوبيع </t>
  </si>
  <si>
    <t xml:space="preserve">جنوب سيناء </t>
  </si>
  <si>
    <t xml:space="preserve">طريق المطار - بعد كمين سعال بحوالي 15 كم - إتجاه التحرير </t>
  </si>
  <si>
    <t xml:space="preserve">الدائرى الأوسطى </t>
  </si>
  <si>
    <t xml:space="preserve">بداية ونهاية منحدر مرورا بنفق الأوتوستراد / مدخل بن زايد الجنوبي - مدخل الكيان العسكر - تقاطع الأوسطي مع الأوتوستراد / مدخل شق الثعبان </t>
  </si>
  <si>
    <t xml:space="preserve">الدولى الساحلى </t>
  </si>
  <si>
    <t xml:space="preserve">أمام مدينة العبور الجديدة </t>
  </si>
  <si>
    <t xml:space="preserve">أمام المركز الطبي العالمي </t>
  </si>
  <si>
    <t xml:space="preserve">شمال سيناء   </t>
  </si>
  <si>
    <t xml:space="preserve">تقاطع ريم البوادي - بالوظة - محطة مياه التلول -  منحني مزار / منحني أبو عاصي - قبر عمير </t>
  </si>
  <si>
    <t xml:space="preserve"> أمام شركة الكهرباء - عزبة 6 </t>
  </si>
  <si>
    <t xml:space="preserve">الكسارة </t>
  </si>
  <si>
    <t>مدخل مارينا دلتا - مدخل شاطئ الأمل - محطة وطنية برج البرلس - مدخل بركة غليون - كوبــرى    زكريا - أمام محطة كهرباء البرلس</t>
  </si>
  <si>
    <t xml:space="preserve">كوبرى 45 مدخل اسكندرية - كوبرى الطرفاية إدكو </t>
  </si>
  <si>
    <t xml:space="preserve"> بشاير الخير - مجمع شركات وادي القمر- كارفور العروبة - مدخل البرج القديم  </t>
  </si>
  <si>
    <t xml:space="preserve">مزلقان فوكة - ملف بق بق </t>
  </si>
  <si>
    <t>الدائرى الإقليمى</t>
  </si>
  <si>
    <t xml:space="preserve">منطقة بين الجبلاين - والنفق الغير الممهد - طريق المحاجر </t>
  </si>
  <si>
    <t xml:space="preserve"> القليوبية</t>
  </si>
  <si>
    <t xml:space="preserve">مطلع  الاقليمى إتجاه القاهرة / تقاطع الإقليمي مع نزلة المنوفية في الإتجاهين - تقاطع الإقليمي مع طريق شبرا - بنها - نزلة الإقليمي - إتجاه الأسكندرية </t>
  </si>
  <si>
    <t>أمام وطنية القارون إتجاه نزلة الواحات - إتجاه بوابة العياط والصف</t>
  </si>
  <si>
    <t xml:space="preserve">نزلة غيتة - قبل كارتة بلبيس - إتجاه العاشر - قبل كارتة بلبيس - إتجاه الصنافين </t>
  </si>
  <si>
    <t xml:space="preserve">خلف معسكر مبارك - أمام دير بطمس - أمام مقابر الرحاب </t>
  </si>
  <si>
    <t xml:space="preserve">الوادي الصحراوي </t>
  </si>
  <si>
    <t xml:space="preserve"> الطريق الدائرى </t>
  </si>
  <si>
    <t xml:space="preserve"> ( القاهرة الكبرى)</t>
  </si>
  <si>
    <t xml:space="preserve">ك 1 مدخل الإقليمي - ك 20 مدخل السعودية - ك 92 بتروشهد - ك 60 - ك 100 أوراسكوم - ك 130 - ك 46 مدخل ليبيا  </t>
  </si>
  <si>
    <t>الطريق ما بعد وحده برنشت</t>
  </si>
  <si>
    <t xml:space="preserve">ك 15 إتجاه باريس ـ ك 120 إتجاه باريس ـ ك 290 إتجاه باريس </t>
  </si>
  <si>
    <t>معدل حوادث القطارات مسئولية الهيئة ومسئولية الغير والمتوفين والمصابين مقارنة بإجمالى عدد الركاب خلال الفترة ( 2020 -2024 )</t>
  </si>
  <si>
    <t>Rate of Train Accidents responsibility of the authority and the responsibility of others , Death and Infected Compared to Total Number of Passengers during the Period (2020-2024)</t>
  </si>
  <si>
    <t>Number of train accidents according to responsibility during the period (2020-2024)</t>
  </si>
  <si>
    <t>حوادث مسئولية مشتركة</t>
  </si>
  <si>
    <t xml:space="preserve">الإجمالي </t>
  </si>
  <si>
    <t>Shared responsibility accidents</t>
  </si>
  <si>
    <t>Number of train accidents The responsibility of the authority and third parties, their consequences, the rate of danger and the rate of cruelty during the period from (2020-2024)</t>
  </si>
  <si>
    <t xml:space="preserve">شرق الدلتا  </t>
  </si>
  <si>
    <t xml:space="preserve">وسط الدلتا </t>
  </si>
  <si>
    <t>الجنوبية</t>
  </si>
  <si>
    <t>عدد حوادث القطارات تبعاً للمسئولية خلال الفترة من ( 2020 -2024 )</t>
  </si>
  <si>
    <t xml:space="preserve">   train accidents</t>
  </si>
  <si>
    <t>حوادث القطارات</t>
  </si>
  <si>
    <t>حوادث الأشخاص</t>
  </si>
  <si>
    <t xml:space="preserve">الإجمالى </t>
  </si>
  <si>
    <t xml:space="preserve">حوادث المزلقانات </t>
  </si>
  <si>
    <t>Total  ENR liability</t>
  </si>
  <si>
    <t xml:space="preserve">اجمالي حوادث العاملين بالهيئة </t>
  </si>
  <si>
    <t>Total ENR employees</t>
  </si>
  <si>
    <t xml:space="preserve">حوادث مسؤلية مشتركة </t>
  </si>
  <si>
    <t>الوجه البحري
Lower Egypt</t>
  </si>
  <si>
    <t>الوجه القبلي
UPPER EGYPT</t>
  </si>
  <si>
    <t xml:space="preserve">سقوط </t>
  </si>
  <si>
    <t xml:space="preserve">تصادم بنهاية السكة </t>
  </si>
  <si>
    <t xml:space="preserve">الاصطدام بعائق </t>
  </si>
  <si>
    <t>اجمالى حوادث العاملين بالهيئة</t>
  </si>
  <si>
    <t>معدل القسوه (متوفى / مصاب ×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</si>
</sst>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(0.0\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ajawal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sz val="11"/>
      <color rgb="FF9C5700"/>
      <name val="Calibri"/>
      <family val="2"/>
      <charset val="178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charset val="178"/>
    </font>
    <font>
      <sz val="11"/>
      <color indexed="8"/>
      <name val="Calibri"/>
      <family val="2"/>
      <charset val="178"/>
    </font>
    <font>
      <sz val="11"/>
      <color theme="0"/>
      <name val="Calibri"/>
      <family val="2"/>
      <charset val="178"/>
    </font>
    <font>
      <sz val="11"/>
      <color rgb="FF9C0006"/>
      <name val="Calibri"/>
      <family val="2"/>
      <charset val="178"/>
    </font>
    <font>
      <b/>
      <sz val="11"/>
      <color rgb="FFFA7D00"/>
      <name val="Calibri"/>
      <family val="2"/>
      <charset val="178"/>
    </font>
    <font>
      <b/>
      <sz val="11"/>
      <color theme="0"/>
      <name val="Calibri"/>
      <family val="2"/>
      <charset val="178"/>
    </font>
    <font>
      <i/>
      <sz val="11"/>
      <color rgb="FF7F7F7F"/>
      <name val="Calibri"/>
      <family val="2"/>
      <charset val="178"/>
    </font>
    <font>
      <sz val="11"/>
      <color rgb="FF006100"/>
      <name val="Calibri"/>
      <family val="2"/>
      <charset val="178"/>
    </font>
    <font>
      <b/>
      <sz val="15"/>
      <color theme="3"/>
      <name val="Calibri"/>
      <family val="2"/>
      <charset val="178"/>
    </font>
    <font>
      <b/>
      <sz val="13"/>
      <color theme="3"/>
      <name val="Calibri"/>
      <family val="2"/>
      <charset val="178"/>
    </font>
    <font>
      <b/>
      <sz val="11"/>
      <color theme="3"/>
      <name val="Calibri"/>
      <family val="2"/>
      <charset val="178"/>
    </font>
    <font>
      <sz val="11"/>
      <color rgb="FF3F3F76"/>
      <name val="Calibri"/>
      <family val="2"/>
      <charset val="178"/>
    </font>
    <font>
      <sz val="11"/>
      <color rgb="FFFA7D00"/>
      <name val="Calibri"/>
      <family val="2"/>
      <charset val="178"/>
    </font>
    <font>
      <sz val="11"/>
      <color rgb="FF9C6500"/>
      <name val="Calibri"/>
      <family val="2"/>
      <charset val="178"/>
    </font>
    <font>
      <b/>
      <sz val="11"/>
      <color rgb="FF3F3F3F"/>
      <name val="Calibri"/>
      <family val="2"/>
      <charset val="178"/>
    </font>
    <font>
      <b/>
      <sz val="18"/>
      <color theme="3"/>
      <name val="Cambria"/>
      <family val="2"/>
      <charset val="178"/>
    </font>
    <font>
      <b/>
      <sz val="11"/>
      <color theme="1"/>
      <name val="Calibri"/>
      <family val="2"/>
      <charset val="178"/>
    </font>
    <font>
      <sz val="11"/>
      <color rgb="FFFF0000"/>
      <name val="Calibri"/>
      <family val="2"/>
      <charset val="178"/>
    </font>
    <font>
      <sz val="10"/>
      <color indexed="8"/>
      <name val="Arial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b/>
      <sz val="11"/>
      <color theme="0"/>
      <name val="Tajawal"/>
    </font>
    <font>
      <b/>
      <sz val="11"/>
      <color theme="1"/>
      <name val="Tajawal"/>
    </font>
    <font>
      <b/>
      <sz val="11"/>
      <color rgb="FF000000"/>
      <name val="Tajawal"/>
    </font>
    <font>
      <b/>
      <sz val="11"/>
      <name val="Tajawal"/>
    </font>
    <font>
      <sz val="11"/>
      <name val="Tajawal"/>
    </font>
    <font>
      <sz val="11"/>
      <color theme="0"/>
      <name val="Tajawal"/>
    </font>
    <font>
      <sz val="11"/>
      <color indexed="8"/>
      <name val="Tajawal"/>
    </font>
    <font>
      <b/>
      <sz val="11"/>
      <color indexed="8"/>
      <name val="Tajawal"/>
    </font>
    <font>
      <u/>
      <sz val="11"/>
      <color theme="0"/>
      <name val="Tajawal"/>
    </font>
    <font>
      <sz val="10"/>
      <color theme="1"/>
      <name val="Tajawal"/>
    </font>
    <font>
      <sz val="9"/>
      <color theme="1"/>
      <name val="Tajawal"/>
    </font>
    <font>
      <u/>
      <sz val="11"/>
      <color rgb="FF0946ED"/>
      <name val="Tajawal"/>
    </font>
    <font>
      <sz val="11"/>
      <name val="Calibri Light"/>
      <family val="1"/>
      <charset val="178"/>
      <scheme val="major"/>
    </font>
    <font>
      <b/>
      <sz val="11"/>
      <name val="Calibri Light"/>
      <family val="1"/>
      <scheme val="major"/>
    </font>
    <font>
      <sz val="10"/>
      <name val="Tajawal"/>
    </font>
    <font>
      <b/>
      <sz val="11"/>
      <color rgb="FF0946ED"/>
      <name val="Tajawal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986ED"/>
        <bgColor indexed="64"/>
      </patternFill>
    </fill>
    <fill>
      <patternFill patternType="solid">
        <fgColor rgb="FF1F254B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238">
    <xf numFmtId="0" fontId="0" fillId="0" borderId="0"/>
    <xf numFmtId="0" fontId="3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10" borderId="0"/>
    <xf numFmtId="0" fontId="6" fillId="14" borderId="0"/>
    <xf numFmtId="0" fontId="6" fillId="18" borderId="0"/>
    <xf numFmtId="0" fontId="6" fillId="22" borderId="0"/>
    <xf numFmtId="0" fontId="6" fillId="26" borderId="0"/>
    <xf numFmtId="0" fontId="6" fillId="30" borderId="0"/>
    <xf numFmtId="0" fontId="6" fillId="11" borderId="0"/>
    <xf numFmtId="0" fontId="6" fillId="15" borderId="0"/>
    <xf numFmtId="0" fontId="6" fillId="19" borderId="0"/>
    <xf numFmtId="0" fontId="6" fillId="23" borderId="0"/>
    <xf numFmtId="0" fontId="6" fillId="27" borderId="0"/>
    <xf numFmtId="0" fontId="6" fillId="31" borderId="0"/>
    <xf numFmtId="0" fontId="7" fillId="12" borderId="0"/>
    <xf numFmtId="0" fontId="7" fillId="12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9" borderId="0"/>
    <xf numFmtId="0" fontId="7" fillId="13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8" fillId="3" borderId="0"/>
    <xf numFmtId="0" fontId="9" fillId="6" borderId="4"/>
    <xf numFmtId="0" fontId="10" fillId="7" borderId="7"/>
    <xf numFmtId="0" fontId="11" fillId="0" borderId="0"/>
    <xf numFmtId="0" fontId="12" fillId="2" borderId="0"/>
    <xf numFmtId="0" fontId="13" fillId="0" borderId="1"/>
    <xf numFmtId="0" fontId="14" fillId="0" borderId="2"/>
    <xf numFmtId="0" fontId="15" fillId="0" borderId="3"/>
    <xf numFmtId="0" fontId="15" fillId="0" borderId="0"/>
    <xf numFmtId="0" fontId="16" fillId="5" borderId="4"/>
    <xf numFmtId="0" fontId="17" fillId="0" borderId="6"/>
    <xf numFmtId="0" fontId="18" fillId="4" borderId="0"/>
    <xf numFmtId="0" fontId="18" fillId="4" borderId="0"/>
    <xf numFmtId="0" fontId="6" fillId="8" borderId="8"/>
    <xf numFmtId="0" fontId="19" fillId="6" borderId="5"/>
    <xf numFmtId="0" fontId="20" fillId="0" borderId="0"/>
    <xf numFmtId="0" fontId="20" fillId="0" borderId="0"/>
    <xf numFmtId="0" fontId="21" fillId="0" borderId="9"/>
    <xf numFmtId="0" fontId="22" fillId="0" borderId="0"/>
    <xf numFmtId="0" fontId="23" fillId="0" borderId="0"/>
    <xf numFmtId="0" fontId="24" fillId="4" borderId="0"/>
    <xf numFmtId="0" fontId="6" fillId="12" borderId="0"/>
    <xf numFmtId="0" fontId="6" fillId="16" borderId="0"/>
    <xf numFmtId="0" fontId="6" fillId="20" borderId="0"/>
    <xf numFmtId="0" fontId="6" fillId="24" borderId="0"/>
    <xf numFmtId="0" fontId="6" fillId="28" borderId="0"/>
    <xf numFmtId="0" fontId="6" fillId="32" borderId="0"/>
    <xf numFmtId="0" fontId="2" fillId="12" borderId="0"/>
    <xf numFmtId="0" fontId="2" fillId="16" borderId="0"/>
    <xf numFmtId="0" fontId="2" fillId="20" borderId="0"/>
    <xf numFmtId="0" fontId="2" fillId="24" borderId="0"/>
    <xf numFmtId="0" fontId="2" fillId="28" borderId="0"/>
    <xf numFmtId="0" fontId="2" fillId="32" borderId="0"/>
    <xf numFmtId="0" fontId="25" fillId="4" borderId="0"/>
    <xf numFmtId="0" fontId="6" fillId="0" borderId="0"/>
    <xf numFmtId="0" fontId="26" fillId="0" borderId="0"/>
    <xf numFmtId="0" fontId="29" fillId="28" borderId="0"/>
    <xf numFmtId="0" fontId="29" fillId="40" borderId="0"/>
    <xf numFmtId="0" fontId="29" fillId="39" borderId="0"/>
    <xf numFmtId="0" fontId="29" fillId="16" borderId="0"/>
    <xf numFmtId="0" fontId="29" fillId="12" borderId="0"/>
    <xf numFmtId="0" fontId="27" fillId="31" borderId="0"/>
    <xf numFmtId="0" fontId="27" fillId="27" borderId="0"/>
    <xf numFmtId="0" fontId="27" fillId="23" borderId="0"/>
    <xf numFmtId="0" fontId="27" fillId="39" borderId="0"/>
    <xf numFmtId="0" fontId="27" fillId="15" borderId="0"/>
    <xf numFmtId="0" fontId="27" fillId="11" borderId="0"/>
    <xf numFmtId="0" fontId="27" fillId="30" borderId="0"/>
    <xf numFmtId="0" fontId="27" fillId="26" borderId="0"/>
    <xf numFmtId="0" fontId="27" fillId="38" borderId="0"/>
    <xf numFmtId="0" fontId="27" fillId="37" borderId="0"/>
    <xf numFmtId="0" fontId="27" fillId="36" borderId="0"/>
    <xf numFmtId="0" fontId="27" fillId="35" borderId="0"/>
    <xf numFmtId="0" fontId="27" fillId="0" borderId="0"/>
    <xf numFmtId="0" fontId="29" fillId="41" borderId="0"/>
    <xf numFmtId="0" fontId="29" fillId="9" borderId="0"/>
    <xf numFmtId="0" fontId="29" fillId="13" borderId="0"/>
    <xf numFmtId="0" fontId="29" fillId="17" borderId="0"/>
    <xf numFmtId="0" fontId="29" fillId="21" borderId="0"/>
    <xf numFmtId="0" fontId="29" fillId="25" borderId="0"/>
    <xf numFmtId="0" fontId="29" fillId="29" borderId="0"/>
    <xf numFmtId="0" fontId="30" fillId="3" borderId="0"/>
    <xf numFmtId="0" fontId="31" fillId="6" borderId="4"/>
    <xf numFmtId="0" fontId="32" fillId="7" borderId="7"/>
    <xf numFmtId="0" fontId="33" fillId="0" borderId="0"/>
    <xf numFmtId="0" fontId="34" fillId="2" borderId="0"/>
    <xf numFmtId="0" fontId="35" fillId="0" borderId="1"/>
    <xf numFmtId="0" fontId="36" fillId="0" borderId="2"/>
    <xf numFmtId="0" fontId="37" fillId="0" borderId="3"/>
    <xf numFmtId="0" fontId="37" fillId="0" borderId="0"/>
    <xf numFmtId="0" fontId="38" fillId="5" borderId="4"/>
    <xf numFmtId="0" fontId="39" fillId="0" borderId="6"/>
    <xf numFmtId="0" fontId="40" fillId="4" borderId="0"/>
    <xf numFmtId="0" fontId="28" fillId="8" borderId="8"/>
    <xf numFmtId="0" fontId="41" fillId="6" borderId="5"/>
    <xf numFmtId="9" fontId="28" fillId="0" borderId="0"/>
    <xf numFmtId="0" fontId="42" fillId="0" borderId="0"/>
    <xf numFmtId="0" fontId="43" fillId="0" borderId="9"/>
    <xf numFmtId="0" fontId="44" fillId="0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4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28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6" fillId="32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6" borderId="0"/>
    <xf numFmtId="0" fontId="6" fillId="26" borderId="0"/>
    <xf numFmtId="0" fontId="6" fillId="26" borderId="0"/>
    <xf numFmtId="0" fontId="6" fillId="26" borderId="0"/>
    <xf numFmtId="0" fontId="6" fillId="26" borderId="0"/>
    <xf numFmtId="0" fontId="6" fillId="30" borderId="0"/>
    <xf numFmtId="0" fontId="6" fillId="30" borderId="0"/>
    <xf numFmtId="0" fontId="6" fillId="30" borderId="0"/>
    <xf numFmtId="0" fontId="6" fillId="30" borderId="0"/>
    <xf numFmtId="0" fontId="6" fillId="30" borderId="0"/>
    <xf numFmtId="0" fontId="6" fillId="11" borderId="0"/>
    <xf numFmtId="0" fontId="6" fillId="11" borderId="0"/>
    <xf numFmtId="0" fontId="6" fillId="11" borderId="0"/>
    <xf numFmtId="0" fontId="6" fillId="11" borderId="0"/>
    <xf numFmtId="0" fontId="6" fillId="11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7" borderId="0"/>
    <xf numFmtId="0" fontId="6" fillId="27" borderId="0"/>
    <xf numFmtId="0" fontId="6" fillId="27" borderId="0"/>
    <xf numFmtId="0" fontId="6" fillId="27" borderId="0"/>
    <xf numFmtId="0" fontId="6" fillId="27" borderId="0"/>
    <xf numFmtId="0" fontId="6" fillId="31" borderId="0"/>
    <xf numFmtId="0" fontId="6" fillId="31" borderId="0"/>
    <xf numFmtId="0" fontId="6" fillId="31" borderId="0"/>
    <xf numFmtId="0" fontId="6" fillId="31" borderId="0"/>
    <xf numFmtId="0" fontId="6" fillId="31" borderId="0"/>
    <xf numFmtId="0" fontId="7" fillId="12" borderId="0"/>
    <xf numFmtId="0" fontId="7" fillId="12" borderId="0"/>
    <xf numFmtId="0" fontId="7" fillId="12" borderId="0"/>
    <xf numFmtId="0" fontId="7" fillId="12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9" fillId="6" borderId="4"/>
    <xf numFmtId="0" fontId="9" fillId="6" borderId="4"/>
    <xf numFmtId="0" fontId="9" fillId="6" borderId="4"/>
    <xf numFmtId="0" fontId="9" fillId="6" borderId="4"/>
    <xf numFmtId="0" fontId="9" fillId="6" borderId="4"/>
    <xf numFmtId="0" fontId="10" fillId="7" borderId="7"/>
    <xf numFmtId="0" fontId="10" fillId="7" borderId="7"/>
    <xf numFmtId="0" fontId="10" fillId="7" borderId="7"/>
    <xf numFmtId="0" fontId="10" fillId="7" borderId="7"/>
    <xf numFmtId="0" fontId="10" fillId="7" borderId="7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3" fillId="0" borderId="1"/>
    <xf numFmtId="0" fontId="13" fillId="0" borderId="1"/>
    <xf numFmtId="0" fontId="13" fillId="0" borderId="1"/>
    <xf numFmtId="0" fontId="13" fillId="0" borderId="1"/>
    <xf numFmtId="0" fontId="13" fillId="0" borderId="1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5" borderId="4"/>
    <xf numFmtId="0" fontId="16" fillId="5" borderId="4"/>
    <xf numFmtId="0" fontId="16" fillId="5" borderId="4"/>
    <xf numFmtId="0" fontId="16" fillId="5" borderId="4"/>
    <xf numFmtId="0" fontId="16" fillId="5" borderId="4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8" fillId="4" borderId="0"/>
    <xf numFmtId="0" fontId="18" fillId="4" borderId="0"/>
    <xf numFmtId="0" fontId="18" fillId="4" borderId="0"/>
    <xf numFmtId="0" fontId="18" fillId="4" borderId="0"/>
    <xf numFmtId="0" fontId="6" fillId="8" borderId="8"/>
    <xf numFmtId="0" fontId="6" fillId="8" borderId="8"/>
    <xf numFmtId="0" fontId="6" fillId="8" borderId="8"/>
    <xf numFmtId="0" fontId="6" fillId="8" borderId="8"/>
    <xf numFmtId="0" fontId="6" fillId="8" borderId="8"/>
    <xf numFmtId="0" fontId="19" fillId="6" borderId="5"/>
    <xf numFmtId="0" fontId="19" fillId="6" borderId="5"/>
    <xf numFmtId="0" fontId="19" fillId="6" borderId="5"/>
    <xf numFmtId="0" fontId="19" fillId="6" borderId="5"/>
    <xf numFmtId="0" fontId="19" fillId="6" borderId="5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5" fillId="0" borderId="0"/>
    <xf numFmtId="0" fontId="46" fillId="0" borderId="0">
      <alignment horizontal="right"/>
    </xf>
    <xf numFmtId="0" fontId="45" fillId="0" borderId="0"/>
    <xf numFmtId="0" fontId="47" fillId="0" borderId="0"/>
    <xf numFmtId="0" fontId="4" fillId="0" borderId="0"/>
    <xf numFmtId="0" fontId="4" fillId="0" borderId="0"/>
  </cellStyleXfs>
  <cellXfs count="475">
    <xf numFmtId="0" fontId="0" fillId="0" borderId="0" xfId="0"/>
    <xf numFmtId="0" fontId="48" fillId="33" borderId="25" xfId="1237" applyFont="1" applyFill="1" applyBorder="1" applyAlignment="1">
      <alignment horizontal="center" vertical="center"/>
    </xf>
    <xf numFmtId="0" fontId="49" fillId="0" borderId="0" xfId="1237" applyFont="1"/>
    <xf numFmtId="0" fontId="4" fillId="0" borderId="0" xfId="1237"/>
    <xf numFmtId="0" fontId="49" fillId="0" borderId="0" xfId="1237" applyFont="1" applyAlignment="1">
      <alignment vertical="center"/>
    </xf>
    <xf numFmtId="0" fontId="49" fillId="0" borderId="0" xfId="5" applyFont="1"/>
    <xf numFmtId="0" fontId="50" fillId="0" borderId="0" xfId="0" applyFont="1" applyAlignment="1">
      <alignment vertical="center"/>
    </xf>
    <xf numFmtId="0" fontId="4" fillId="0" borderId="0" xfId="0" applyFont="1"/>
    <xf numFmtId="0" fontId="49" fillId="0" borderId="0" xfId="0" applyFont="1"/>
    <xf numFmtId="0" fontId="50" fillId="0" borderId="0" xfId="0" applyFont="1" applyAlignment="1">
      <alignment horizontal="left" vertical="center"/>
    </xf>
    <xf numFmtId="0" fontId="49" fillId="0" borderId="0" xfId="5" applyFont="1" applyAlignment="1">
      <alignment vertical="center"/>
    </xf>
    <xf numFmtId="0" fontId="49" fillId="0" borderId="0" xfId="5" applyFont="1" applyAlignment="1">
      <alignment vertical="center" wrapText="1"/>
    </xf>
    <xf numFmtId="0" fontId="49" fillId="0" borderId="0" xfId="5" applyFont="1" applyAlignment="1">
      <alignment horizontal="left" vertical="center" wrapText="1"/>
    </xf>
    <xf numFmtId="0" fontId="4" fillId="0" borderId="0" xfId="5" applyFont="1"/>
    <xf numFmtId="0" fontId="49" fillId="0" borderId="0" xfId="5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9" fillId="0" borderId="0" xfId="5" applyFont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readingOrder="2"/>
    </xf>
    <xf numFmtId="0" fontId="52" fillId="0" borderId="0" xfId="0" applyFont="1" applyAlignment="1">
      <alignment vertical="center" readingOrder="2"/>
    </xf>
    <xf numFmtId="0" fontId="51" fillId="0" borderId="0" xfId="0" applyFont="1" applyAlignment="1">
      <alignment vertical="center" readingOrder="1"/>
    </xf>
    <xf numFmtId="0" fontId="51" fillId="0" borderId="0" xfId="0" applyFont="1" applyAlignment="1">
      <alignment vertical="center" wrapText="1" readingOrder="1"/>
    </xf>
    <xf numFmtId="0" fontId="51" fillId="0" borderId="0" xfId="0" applyFont="1" applyAlignment="1">
      <alignment horizontal="left" vertical="center" readingOrder="1"/>
    </xf>
    <xf numFmtId="0" fontId="48" fillId="33" borderId="18" xfId="1237" applyFont="1" applyFill="1" applyBorder="1" applyAlignment="1">
      <alignment horizontal="center" vertical="center" wrapText="1"/>
    </xf>
    <xf numFmtId="0" fontId="48" fillId="33" borderId="23" xfId="1237" applyFont="1" applyFill="1" applyBorder="1" applyAlignment="1">
      <alignment horizontal="center" vertical="center" wrapText="1"/>
    </xf>
    <xf numFmtId="0" fontId="48" fillId="33" borderId="25" xfId="1237" applyFont="1" applyFill="1" applyBorder="1" applyAlignment="1">
      <alignment horizontal="center" vertical="center" wrapText="1"/>
    </xf>
    <xf numFmtId="0" fontId="48" fillId="34" borderId="0" xfId="1237" applyFont="1" applyFill="1"/>
    <xf numFmtId="0" fontId="48" fillId="34" borderId="0" xfId="1237" applyFont="1" applyFill="1" applyAlignment="1">
      <alignment horizontal="center" vertical="center"/>
    </xf>
    <xf numFmtId="0" fontId="4" fillId="0" borderId="23" xfId="1237" applyBorder="1"/>
    <xf numFmtId="0" fontId="4" fillId="0" borderId="23" xfId="1237" applyBorder="1" applyAlignment="1">
      <alignment horizontal="center" vertical="center"/>
    </xf>
    <xf numFmtId="0" fontId="49" fillId="0" borderId="23" xfId="1237" applyFont="1" applyBorder="1" applyAlignment="1">
      <alignment horizontal="center" vertical="center"/>
    </xf>
    <xf numFmtId="0" fontId="4" fillId="0" borderId="24" xfId="1237" applyBorder="1"/>
    <xf numFmtId="0" fontId="4" fillId="0" borderId="24" xfId="1237" applyBorder="1" applyAlignment="1">
      <alignment horizontal="center" vertical="center"/>
    </xf>
    <xf numFmtId="0" fontId="49" fillId="0" borderId="24" xfId="1237" applyFont="1" applyBorder="1" applyAlignment="1">
      <alignment horizontal="center" vertical="center"/>
    </xf>
    <xf numFmtId="0" fontId="48" fillId="34" borderId="20" xfId="3" applyFont="1" applyFill="1" applyBorder="1" applyAlignment="1">
      <alignment horizontal="center" vertical="center" wrapText="1"/>
    </xf>
    <xf numFmtId="0" fontId="51" fillId="0" borderId="23" xfId="0" applyFont="1" applyBorder="1" applyAlignment="1">
      <alignment horizontal="center" vertical="center"/>
    </xf>
    <xf numFmtId="0" fontId="52" fillId="0" borderId="24" xfId="0" applyFont="1" applyBorder="1" applyAlignment="1">
      <alignment horizontal="right" vertical="center"/>
    </xf>
    <xf numFmtId="0" fontId="52" fillId="0" borderId="24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textRotation="90" wrapText="1" readingOrder="1"/>
    </xf>
    <xf numFmtId="0" fontId="51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 textRotation="90" wrapText="1" readingOrder="1"/>
    </xf>
    <xf numFmtId="0" fontId="52" fillId="0" borderId="25" xfId="0" applyFont="1" applyBorder="1" applyAlignment="1">
      <alignment horizontal="center" vertical="center"/>
    </xf>
    <xf numFmtId="0" fontId="48" fillId="33" borderId="26" xfId="1237" applyFont="1" applyFill="1" applyBorder="1" applyAlignment="1">
      <alignment horizontal="center" vertical="center" wrapText="1"/>
    </xf>
    <xf numFmtId="0" fontId="48" fillId="33" borderId="28" xfId="1237" applyFont="1" applyFill="1" applyBorder="1" applyAlignment="1">
      <alignment horizontal="center" vertical="center" wrapText="1"/>
    </xf>
    <xf numFmtId="0" fontId="48" fillId="34" borderId="18" xfId="1237" applyFont="1" applyFill="1" applyBorder="1"/>
    <xf numFmtId="0" fontId="48" fillId="34" borderId="18" xfId="1237" applyFont="1" applyFill="1" applyBorder="1" applyAlignment="1">
      <alignment horizontal="center" vertical="center"/>
    </xf>
    <xf numFmtId="0" fontId="4" fillId="0" borderId="25" xfId="1237" applyBorder="1"/>
    <xf numFmtId="0" fontId="4" fillId="0" borderId="25" xfId="1237" applyBorder="1" applyAlignment="1">
      <alignment horizontal="center" vertical="center"/>
    </xf>
    <xf numFmtId="0" fontId="49" fillId="0" borderId="25" xfId="1237" applyFont="1" applyBorder="1" applyAlignment="1">
      <alignment horizontal="center" vertical="center"/>
    </xf>
    <xf numFmtId="0" fontId="4" fillId="0" borderId="23" xfId="1237" applyBorder="1" applyAlignment="1">
      <alignment horizontal="center"/>
    </xf>
    <xf numFmtId="0" fontId="4" fillId="0" borderId="24" xfId="1237" applyBorder="1" applyAlignment="1">
      <alignment horizontal="center"/>
    </xf>
    <xf numFmtId="0" fontId="4" fillId="0" borderId="25" xfId="1237" applyBorder="1" applyAlignment="1">
      <alignment horizontal="center"/>
    </xf>
    <xf numFmtId="0" fontId="49" fillId="0" borderId="18" xfId="1237" applyFont="1" applyBorder="1"/>
    <xf numFmtId="0" fontId="48" fillId="34" borderId="18" xfId="1237" applyFont="1" applyFill="1" applyBorder="1" applyAlignment="1">
      <alignment horizontal="right" vertical="center" wrapText="1"/>
    </xf>
    <xf numFmtId="0" fontId="48" fillId="34" borderId="18" xfId="1237" applyFont="1" applyFill="1" applyBorder="1" applyAlignment="1">
      <alignment horizontal="center" vertical="center" wrapText="1"/>
    </xf>
    <xf numFmtId="0" fontId="48" fillId="34" borderId="18" xfId="1237" applyFont="1" applyFill="1" applyBorder="1" applyAlignment="1">
      <alignment horizontal="left" vertical="center" wrapText="1"/>
    </xf>
    <xf numFmtId="0" fontId="52" fillId="0" borderId="23" xfId="1237" applyFont="1" applyBorder="1" applyAlignment="1">
      <alignment horizontal="center" vertical="center" wrapText="1"/>
    </xf>
    <xf numFmtId="0" fontId="51" fillId="0" borderId="23" xfId="1237" applyFont="1" applyBorder="1" applyAlignment="1">
      <alignment horizontal="center" vertical="center" wrapText="1"/>
    </xf>
    <xf numFmtId="0" fontId="48" fillId="34" borderId="23" xfId="1237" applyFont="1" applyFill="1" applyBorder="1"/>
    <xf numFmtId="0" fontId="48" fillId="34" borderId="23" xfId="1237" applyFont="1" applyFill="1" applyBorder="1" applyAlignment="1">
      <alignment horizontal="center" vertical="center"/>
    </xf>
    <xf numFmtId="0" fontId="49" fillId="0" borderId="25" xfId="1237" applyFont="1" applyBorder="1" applyAlignment="1">
      <alignment horizontal="center"/>
    </xf>
    <xf numFmtId="0" fontId="48" fillId="33" borderId="23" xfId="1237" applyFont="1" applyFill="1" applyBorder="1" applyAlignment="1">
      <alignment horizontal="center" vertical="center"/>
    </xf>
    <xf numFmtId="0" fontId="49" fillId="0" borderId="23" xfId="1237" applyFont="1" applyBorder="1" applyAlignment="1">
      <alignment horizontal="center"/>
    </xf>
    <xf numFmtId="0" fontId="49" fillId="0" borderId="24" xfId="1237" applyFont="1" applyBorder="1" applyAlignment="1">
      <alignment horizontal="center"/>
    </xf>
    <xf numFmtId="0" fontId="48" fillId="33" borderId="26" xfId="5" applyFont="1" applyFill="1" applyBorder="1" applyAlignment="1">
      <alignment horizontal="center" vertical="center" wrapText="1" readingOrder="2"/>
    </xf>
    <xf numFmtId="0" fontId="48" fillId="33" borderId="23" xfId="5" applyFont="1" applyFill="1" applyBorder="1" applyAlignment="1">
      <alignment horizontal="center" vertical="center" wrapText="1" readingOrder="2"/>
    </xf>
    <xf numFmtId="49" fontId="48" fillId="33" borderId="23" xfId="5" applyNumberFormat="1" applyFont="1" applyFill="1" applyBorder="1" applyAlignment="1">
      <alignment horizontal="center" vertical="center" wrapText="1" readingOrder="2"/>
    </xf>
    <xf numFmtId="0" fontId="48" fillId="33" borderId="28" xfId="5" applyFont="1" applyFill="1" applyBorder="1" applyAlignment="1">
      <alignment horizontal="center" vertical="center" wrapText="1" readingOrder="2"/>
    </xf>
    <xf numFmtId="0" fontId="48" fillId="33" borderId="25" xfId="5" applyFont="1" applyFill="1" applyBorder="1" applyAlignment="1">
      <alignment horizontal="center" vertical="center"/>
    </xf>
    <xf numFmtId="0" fontId="48" fillId="34" borderId="23" xfId="5" applyFont="1" applyFill="1" applyBorder="1" applyAlignment="1">
      <alignment horizontal="right" vertical="center" readingOrder="2"/>
    </xf>
    <xf numFmtId="0" fontId="48" fillId="34" borderId="23" xfId="5" applyFont="1" applyFill="1" applyBorder="1" applyAlignment="1">
      <alignment horizontal="center" vertical="center"/>
    </xf>
    <xf numFmtId="0" fontId="48" fillId="34" borderId="23" xfId="5" applyFont="1" applyFill="1" applyBorder="1" applyAlignment="1">
      <alignment horizontal="left" vertical="center" readingOrder="2"/>
    </xf>
    <xf numFmtId="0" fontId="54" fillId="0" borderId="24" xfId="1234" applyFont="1" applyBorder="1" applyAlignment="1">
      <alignment horizontal="right" vertical="center"/>
    </xf>
    <xf numFmtId="0" fontId="4" fillId="0" borderId="24" xfId="5" applyFont="1" applyBorder="1" applyAlignment="1">
      <alignment horizontal="center" vertical="center"/>
    </xf>
    <xf numFmtId="0" fontId="49" fillId="0" borderId="24" xfId="5" applyFont="1" applyBorder="1" applyAlignment="1">
      <alignment horizontal="center" vertical="center"/>
    </xf>
    <xf numFmtId="0" fontId="52" fillId="0" borderId="24" xfId="1233" applyFont="1" applyBorder="1" applyAlignment="1">
      <alignment horizontal="left" vertical="center" readingOrder="2"/>
    </xf>
    <xf numFmtId="0" fontId="52" fillId="0" borderId="24" xfId="1235" applyFont="1" applyBorder="1" applyAlignment="1">
      <alignment horizontal="left" vertical="center" readingOrder="2"/>
    </xf>
    <xf numFmtId="0" fontId="4" fillId="0" borderId="25" xfId="5" applyFont="1" applyBorder="1"/>
    <xf numFmtId="0" fontId="52" fillId="0" borderId="25" xfId="5" applyFont="1" applyBorder="1" applyAlignment="1">
      <alignment horizontal="center" vertical="center"/>
    </xf>
    <xf numFmtId="0" fontId="51" fillId="0" borderId="25" xfId="5" applyFont="1" applyBorder="1" applyAlignment="1">
      <alignment horizontal="center" vertical="center"/>
    </xf>
    <xf numFmtId="0" fontId="52" fillId="0" borderId="25" xfId="5" applyFont="1" applyBorder="1"/>
    <xf numFmtId="0" fontId="48" fillId="33" borderId="25" xfId="5" applyFont="1" applyFill="1" applyBorder="1" applyAlignment="1">
      <alignment horizontal="center" vertical="center" wrapText="1" readingOrder="2"/>
    </xf>
    <xf numFmtId="0" fontId="52" fillId="0" borderId="23" xfId="5" applyFont="1" applyBorder="1" applyAlignment="1">
      <alignment horizontal="center" vertical="center" wrapText="1" readingOrder="1"/>
    </xf>
    <xf numFmtId="0" fontId="4" fillId="0" borderId="23" xfId="5" applyFont="1" applyBorder="1" applyAlignment="1">
      <alignment horizontal="center" vertical="center"/>
    </xf>
    <xf numFmtId="0" fontId="49" fillId="0" borderId="23" xfId="5" applyFont="1" applyBorder="1" applyAlignment="1">
      <alignment horizontal="center" vertical="center"/>
    </xf>
    <xf numFmtId="0" fontId="52" fillId="0" borderId="24" xfId="5" applyFont="1" applyBorder="1" applyAlignment="1">
      <alignment horizontal="center" vertical="center" wrapText="1" readingOrder="1"/>
    </xf>
    <xf numFmtId="0" fontId="52" fillId="0" borderId="25" xfId="5" applyFont="1" applyBorder="1" applyAlignment="1">
      <alignment horizontal="center" vertical="center" wrapText="1" readingOrder="1"/>
    </xf>
    <xf numFmtId="0" fontId="4" fillId="0" borderId="25" xfId="5" applyFont="1" applyBorder="1" applyAlignment="1">
      <alignment horizontal="center" vertical="center"/>
    </xf>
    <xf numFmtId="0" fontId="49" fillId="0" borderId="25" xfId="5" applyFont="1" applyBorder="1" applyAlignment="1">
      <alignment horizontal="center" vertical="center"/>
    </xf>
    <xf numFmtId="0" fontId="48" fillId="34" borderId="18" xfId="5" applyFont="1" applyFill="1" applyBorder="1" applyAlignment="1">
      <alignment horizontal="right" vertical="center" readingOrder="2"/>
    </xf>
    <xf numFmtId="0" fontId="48" fillId="34" borderId="18" xfId="5" applyFont="1" applyFill="1" applyBorder="1" applyAlignment="1">
      <alignment horizontal="center" vertical="center"/>
    </xf>
    <xf numFmtId="0" fontId="48" fillId="34" borderId="18" xfId="5" applyFont="1" applyFill="1" applyBorder="1" applyAlignment="1">
      <alignment horizontal="left" vertical="center" readingOrder="2"/>
    </xf>
    <xf numFmtId="0" fontId="52" fillId="0" borderId="23" xfId="1233" applyFont="1" applyBorder="1" applyAlignment="1">
      <alignment horizontal="right" vertical="center" readingOrder="2"/>
    </xf>
    <xf numFmtId="0" fontId="54" fillId="0" borderId="23" xfId="1234" applyFont="1" applyBorder="1" applyAlignment="1">
      <alignment horizontal="center" vertical="center"/>
    </xf>
    <xf numFmtId="0" fontId="52" fillId="0" borderId="23" xfId="1233" applyFont="1" applyBorder="1" applyAlignment="1">
      <alignment horizontal="left" vertical="center" readingOrder="2"/>
    </xf>
    <xf numFmtId="0" fontId="52" fillId="0" borderId="24" xfId="1233" applyFont="1" applyBorder="1" applyAlignment="1">
      <alignment horizontal="right" vertical="center" readingOrder="2"/>
    </xf>
    <xf numFmtId="0" fontId="54" fillId="0" borderId="24" xfId="1234" applyFont="1" applyBorder="1" applyAlignment="1">
      <alignment horizontal="center" vertical="center"/>
    </xf>
    <xf numFmtId="0" fontId="52" fillId="0" borderId="25" xfId="0" applyFont="1" applyBorder="1"/>
    <xf numFmtId="0" fontId="48" fillId="33" borderId="25" xfId="1233" applyFont="1" applyFill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48" fillId="33" borderId="23" xfId="0" applyFont="1" applyFill="1" applyBorder="1" applyAlignment="1">
      <alignment horizontal="center" vertical="center" wrapText="1"/>
    </xf>
    <xf numFmtId="0" fontId="48" fillId="33" borderId="25" xfId="5" applyFont="1" applyFill="1" applyBorder="1" applyAlignment="1">
      <alignment horizontal="center" vertical="center" readingOrder="2"/>
    </xf>
    <xf numFmtId="0" fontId="48" fillId="34" borderId="23" xfId="0" applyFont="1" applyFill="1" applyBorder="1" applyAlignment="1">
      <alignment horizontal="right" vertical="center" wrapText="1"/>
    </xf>
    <xf numFmtId="0" fontId="48" fillId="34" borderId="23" xfId="0" applyFont="1" applyFill="1" applyBorder="1" applyAlignment="1">
      <alignment horizontal="center" vertical="center" wrapText="1"/>
    </xf>
    <xf numFmtId="0" fontId="48" fillId="34" borderId="23" xfId="0" applyFont="1" applyFill="1" applyBorder="1" applyAlignment="1">
      <alignment horizontal="left" vertical="center" wrapText="1"/>
    </xf>
    <xf numFmtId="0" fontId="54" fillId="0" borderId="24" xfId="1232" applyFont="1" applyBorder="1" applyAlignment="1">
      <alignment horizontal="center" vertical="center"/>
    </xf>
    <xf numFmtId="0" fontId="55" fillId="0" borderId="24" xfId="1232" applyFont="1" applyBorder="1" applyAlignment="1">
      <alignment horizontal="center" vertical="center"/>
    </xf>
    <xf numFmtId="0" fontId="52" fillId="0" borderId="24" xfId="0" applyFont="1" applyBorder="1" applyAlignment="1">
      <alignment horizontal="left" vertical="center"/>
    </xf>
    <xf numFmtId="0" fontId="52" fillId="0" borderId="23" xfId="0" applyFont="1" applyBorder="1" applyAlignment="1">
      <alignment horizontal="center" vertical="center" wrapText="1" readingOrder="1"/>
    </xf>
    <xf numFmtId="0" fontId="51" fillId="0" borderId="23" xfId="0" applyFont="1" applyBorder="1" applyAlignment="1">
      <alignment horizontal="center" vertical="center" wrapText="1" readingOrder="1"/>
    </xf>
    <xf numFmtId="0" fontId="52" fillId="0" borderId="24" xfId="0" applyFont="1" applyBorder="1" applyAlignment="1">
      <alignment horizontal="center" vertical="center" wrapText="1" readingOrder="1"/>
    </xf>
    <xf numFmtId="0" fontId="51" fillId="0" borderId="24" xfId="0" applyFont="1" applyBorder="1" applyAlignment="1">
      <alignment horizontal="center" vertical="center" wrapText="1" readingOrder="1"/>
    </xf>
    <xf numFmtId="0" fontId="52" fillId="0" borderId="25" xfId="0" applyFont="1" applyBorder="1" applyAlignment="1">
      <alignment horizontal="center" vertical="center" wrapText="1" readingOrder="1"/>
    </xf>
    <xf numFmtId="0" fontId="51" fillId="0" borderId="25" xfId="0" applyFont="1" applyBorder="1" applyAlignment="1">
      <alignment horizontal="center" vertical="center" wrapText="1" readingOrder="1"/>
    </xf>
    <xf numFmtId="0" fontId="48" fillId="33" borderId="23" xfId="3" applyFont="1" applyFill="1" applyBorder="1" applyAlignment="1">
      <alignment horizontal="center" vertical="center" wrapText="1"/>
    </xf>
    <xf numFmtId="0" fontId="48" fillId="33" borderId="25" xfId="3" applyFont="1" applyFill="1" applyBorder="1" applyAlignment="1">
      <alignment horizontal="center" vertical="center" wrapText="1"/>
    </xf>
    <xf numFmtId="0" fontId="48" fillId="33" borderId="18" xfId="0" applyFont="1" applyFill="1" applyBorder="1" applyAlignment="1">
      <alignment horizontal="center" vertical="center" wrapText="1" readingOrder="1"/>
    </xf>
    <xf numFmtId="0" fontId="48" fillId="33" borderId="25" xfId="0" applyFont="1" applyFill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1" fontId="4" fillId="0" borderId="25" xfId="0" applyNumberFormat="1" applyFont="1" applyBorder="1" applyAlignment="1">
      <alignment horizontal="center"/>
    </xf>
    <xf numFmtId="164" fontId="52" fillId="0" borderId="24" xfId="0" applyNumberFormat="1" applyFont="1" applyBorder="1" applyAlignment="1">
      <alignment horizontal="center" vertical="center"/>
    </xf>
    <xf numFmtId="0" fontId="48" fillId="33" borderId="18" xfId="0" applyFont="1" applyFill="1" applyBorder="1" applyAlignment="1">
      <alignment horizontal="center" vertical="center"/>
    </xf>
    <xf numFmtId="0" fontId="53" fillId="33" borderId="0" xfId="0" applyFont="1" applyFill="1"/>
    <xf numFmtId="0" fontId="48" fillId="33" borderId="0" xfId="0" applyFont="1" applyFill="1" applyAlignment="1">
      <alignment readingOrder="2"/>
    </xf>
    <xf numFmtId="0" fontId="4" fillId="33" borderId="0" xfId="0" applyFont="1" applyFill="1"/>
    <xf numFmtId="0" fontId="56" fillId="33" borderId="0" xfId="1" applyFont="1" applyFill="1" applyAlignment="1">
      <alignment horizontal="right"/>
    </xf>
    <xf numFmtId="0" fontId="48" fillId="33" borderId="0" xfId="0" applyFont="1" applyFill="1"/>
    <xf numFmtId="0" fontId="56" fillId="33" borderId="0" xfId="1" applyFont="1" applyFill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53" fillId="34" borderId="0" xfId="0" applyFont="1" applyFill="1"/>
    <xf numFmtId="0" fontId="53" fillId="34" borderId="0" xfId="0" applyFont="1" applyFill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4" xfId="0" applyFont="1" applyBorder="1"/>
    <xf numFmtId="0" fontId="49" fillId="0" borderId="0" xfId="0" applyFont="1" applyAlignment="1">
      <alignment horizontal="center" vertical="center"/>
    </xf>
    <xf numFmtId="0" fontId="49" fillId="0" borderId="14" xfId="0" applyFont="1" applyBorder="1" applyAlignment="1">
      <alignment horizontal="left" indent="2"/>
    </xf>
    <xf numFmtId="0" fontId="58" fillId="0" borderId="13" xfId="0" applyFont="1" applyBorder="1"/>
    <xf numFmtId="0" fontId="49" fillId="0" borderId="0" xfId="0" applyFont="1" applyAlignment="1">
      <alignment horizontal="right" indent="2"/>
    </xf>
    <xf numFmtId="0" fontId="49" fillId="0" borderId="0" xfId="0" applyFont="1" applyAlignment="1">
      <alignment horizontal="left" indent="2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49" fontId="49" fillId="0" borderId="0" xfId="0" applyNumberFormat="1" applyFont="1" applyAlignment="1">
      <alignment horizontal="right" indent="2" readingOrder="2"/>
    </xf>
    <xf numFmtId="49" fontId="49" fillId="0" borderId="0" xfId="0" quotePrefix="1" applyNumberFormat="1" applyFont="1" applyAlignment="1">
      <alignment horizontal="left" indent="2"/>
    </xf>
    <xf numFmtId="15" fontId="49" fillId="0" borderId="14" xfId="0" applyNumberFormat="1" applyFont="1" applyBorder="1" applyAlignment="1">
      <alignment horizontal="left" indent="2"/>
    </xf>
    <xf numFmtId="49" fontId="53" fillId="34" borderId="0" xfId="0" applyNumberFormat="1" applyFont="1" applyFill="1"/>
    <xf numFmtId="49" fontId="53" fillId="34" borderId="0" xfId="0" applyNumberFormat="1" applyFont="1" applyFill="1" applyAlignment="1">
      <alignment horizontal="left"/>
    </xf>
    <xf numFmtId="17" fontId="49" fillId="0" borderId="14" xfId="0" applyNumberFormat="1" applyFont="1" applyBorder="1" applyAlignment="1">
      <alignment horizontal="left" indent="2"/>
    </xf>
    <xf numFmtId="0" fontId="4" fillId="42" borderId="23" xfId="0" applyFont="1" applyFill="1" applyBorder="1" applyAlignment="1">
      <alignment vertical="center" readingOrder="2"/>
    </xf>
    <xf numFmtId="0" fontId="4" fillId="42" borderId="24" xfId="5" applyFont="1" applyFill="1" applyBorder="1" applyAlignment="1">
      <alignment vertical="center"/>
    </xf>
    <xf numFmtId="0" fontId="49" fillId="0" borderId="28" xfId="1237" applyFont="1" applyBorder="1"/>
    <xf numFmtId="0" fontId="49" fillId="0" borderId="29" xfId="1237" applyFont="1" applyBorder="1"/>
    <xf numFmtId="0" fontId="49" fillId="0" borderId="27" xfId="1237" applyFont="1" applyBorder="1"/>
    <xf numFmtId="0" fontId="52" fillId="0" borderId="24" xfId="0" applyFont="1" applyBorder="1" applyAlignment="1">
      <alignment horizontal="center" vertical="center" wrapText="1" readingOrder="2"/>
    </xf>
    <xf numFmtId="0" fontId="48" fillId="33" borderId="23" xfId="1237" applyFont="1" applyFill="1" applyBorder="1" applyAlignment="1">
      <alignment horizontal="center" vertical="center" wrapText="1" readingOrder="2"/>
    </xf>
    <xf numFmtId="0" fontId="4" fillId="0" borderId="29" xfId="1237" applyBorder="1"/>
    <xf numFmtId="0" fontId="1" fillId="0" borderId="18" xfId="1" applyFont="1" applyBorder="1"/>
    <xf numFmtId="0" fontId="49" fillId="0" borderId="0" xfId="0" applyFont="1" applyAlignment="1">
      <alignment horizontal="right" vertical="center" indent="2"/>
    </xf>
    <xf numFmtId="0" fontId="49" fillId="0" borderId="0" xfId="0" applyFont="1" applyAlignment="1">
      <alignment horizontal="left" vertical="center" indent="2"/>
    </xf>
    <xf numFmtId="0" fontId="59" fillId="0" borderId="0" xfId="1" applyFont="1" applyAlignment="1">
      <alignment horizontal="right"/>
    </xf>
    <xf numFmtId="0" fontId="48" fillId="34" borderId="19" xfId="0" applyFont="1" applyFill="1" applyBorder="1" applyAlignment="1">
      <alignment horizontal="center" vertical="center"/>
    </xf>
    <xf numFmtId="0" fontId="48" fillId="34" borderId="18" xfId="0" applyFont="1" applyFill="1" applyBorder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4" fillId="0" borderId="27" xfId="5" applyFont="1" applyBorder="1" applyAlignment="1">
      <alignment horizontal="center" vertical="center"/>
    </xf>
    <xf numFmtId="0" fontId="4" fillId="0" borderId="29" xfId="5" applyFont="1" applyBorder="1" applyAlignment="1">
      <alignment horizontal="center" vertical="center"/>
    </xf>
    <xf numFmtId="0" fontId="52" fillId="0" borderId="30" xfId="5" applyFont="1" applyBorder="1" applyAlignment="1">
      <alignment horizontal="center" vertical="center" wrapText="1" readingOrder="1"/>
    </xf>
    <xf numFmtId="0" fontId="52" fillId="0" borderId="28" xfId="5" applyFont="1" applyBorder="1" applyAlignment="1">
      <alignment horizontal="center" vertical="center" wrapText="1" readingOrder="1"/>
    </xf>
    <xf numFmtId="49" fontId="52" fillId="0" borderId="31" xfId="0" applyNumberFormat="1" applyFont="1" applyBorder="1" applyAlignment="1">
      <alignment horizontal="center" vertical="center"/>
    </xf>
    <xf numFmtId="164" fontId="52" fillId="0" borderId="25" xfId="0" applyNumberFormat="1" applyFont="1" applyBorder="1" applyAlignment="1">
      <alignment horizontal="center" vertical="center"/>
    </xf>
    <xf numFmtId="164" fontId="48" fillId="34" borderId="29" xfId="3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2" fillId="0" borderId="31" xfId="0" applyFont="1" applyBorder="1" applyAlignment="1">
      <alignment horizontal="center" vertical="center"/>
    </xf>
    <xf numFmtId="164" fontId="52" fillId="0" borderId="0" xfId="0" applyNumberFormat="1" applyFont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164" fontId="52" fillId="0" borderId="29" xfId="0" applyNumberFormat="1" applyFont="1" applyBorder="1" applyAlignment="1">
      <alignment horizontal="center" vertical="center"/>
    </xf>
    <xf numFmtId="49" fontId="52" fillId="0" borderId="30" xfId="0" applyNumberFormat="1" applyFont="1" applyBorder="1" applyAlignment="1">
      <alignment horizontal="center" vertical="center"/>
    </xf>
    <xf numFmtId="164" fontId="52" fillId="0" borderId="28" xfId="0" applyNumberFormat="1" applyFont="1" applyBorder="1" applyAlignment="1">
      <alignment horizontal="center" vertical="center"/>
    </xf>
    <xf numFmtId="49" fontId="52" fillId="0" borderId="0" xfId="0" applyNumberFormat="1" applyFont="1" applyAlignment="1">
      <alignment horizontal="center" vertical="center"/>
    </xf>
    <xf numFmtId="0" fontId="4" fillId="0" borderId="18" xfId="1" applyFont="1" applyBorder="1" applyAlignment="1">
      <alignment horizontal="center"/>
    </xf>
    <xf numFmtId="0" fontId="48" fillId="33" borderId="18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4" fillId="0" borderId="18" xfId="1" applyFont="1" applyBorder="1" applyAlignment="1">
      <alignment horizontal="right" readingOrder="2"/>
    </xf>
    <xf numFmtId="0" fontId="51" fillId="0" borderId="23" xfId="5" applyFont="1" applyBorder="1" applyAlignment="1">
      <alignment horizontal="center" vertical="center" wrapText="1"/>
    </xf>
    <xf numFmtId="0" fontId="51" fillId="0" borderId="24" xfId="5" applyFont="1" applyBorder="1" applyAlignment="1">
      <alignment horizontal="center" vertical="center" wrapText="1"/>
    </xf>
    <xf numFmtId="0" fontId="51" fillId="0" borderId="25" xfId="5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/>
    </xf>
    <xf numFmtId="0" fontId="51" fillId="0" borderId="28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 wrapText="1" readingOrder="1"/>
    </xf>
    <xf numFmtId="0" fontId="52" fillId="0" borderId="31" xfId="0" applyFont="1" applyBorder="1" applyAlignment="1">
      <alignment horizontal="center" vertical="center" wrapText="1" readingOrder="1"/>
    </xf>
    <xf numFmtId="49" fontId="52" fillId="0" borderId="0" xfId="0" applyNumberFormat="1" applyFont="1" applyAlignment="1">
      <alignment horizontal="center" vertical="center" wrapText="1" readingOrder="1"/>
    </xf>
    <xf numFmtId="0" fontId="52" fillId="0" borderId="0" xfId="0" applyFont="1" applyAlignment="1">
      <alignment horizontal="center" vertical="center" wrapText="1" readingOrder="1"/>
    </xf>
    <xf numFmtId="164" fontId="52" fillId="0" borderId="0" xfId="0" applyNumberFormat="1" applyFont="1" applyAlignment="1">
      <alignment horizontal="center" vertical="center" wrapText="1" readingOrder="1"/>
    </xf>
    <xf numFmtId="0" fontId="52" fillId="0" borderId="32" xfId="0" applyFont="1" applyBorder="1" applyAlignment="1">
      <alignment horizontal="center" vertical="center" wrapText="1" readingOrder="1"/>
    </xf>
    <xf numFmtId="164" fontId="52" fillId="0" borderId="30" xfId="0" applyNumberFormat="1" applyFont="1" applyBorder="1" applyAlignment="1">
      <alignment horizontal="center" vertical="center" wrapText="1" readingOrder="1"/>
    </xf>
    <xf numFmtId="0" fontId="52" fillId="0" borderId="0" xfId="0" applyFont="1" applyAlignment="1">
      <alignment horizontal="center" vertical="center" wrapText="1"/>
    </xf>
    <xf numFmtId="0" fontId="52" fillId="0" borderId="30" xfId="0" applyFont="1" applyBorder="1" applyAlignment="1">
      <alignment horizontal="center" vertical="center" wrapText="1"/>
    </xf>
    <xf numFmtId="165" fontId="52" fillId="0" borderId="30" xfId="0" applyNumberFormat="1" applyFont="1" applyBorder="1" applyAlignment="1">
      <alignment horizontal="center" vertical="center" wrapText="1" readingOrder="1"/>
    </xf>
    <xf numFmtId="0" fontId="52" fillId="0" borderId="28" xfId="0" applyFont="1" applyBorder="1" applyAlignment="1">
      <alignment horizontal="center" vertical="center" wrapText="1" readingOrder="1"/>
    </xf>
    <xf numFmtId="0" fontId="52" fillId="0" borderId="29" xfId="0" applyFont="1" applyBorder="1" applyAlignment="1">
      <alignment horizontal="center" vertical="center" wrapText="1" readingOrder="1"/>
    </xf>
    <xf numFmtId="49" fontId="52" fillId="0" borderId="29" xfId="0" applyNumberFormat="1" applyFont="1" applyBorder="1" applyAlignment="1">
      <alignment horizontal="center" vertical="center" wrapText="1" readingOrder="1"/>
    </xf>
    <xf numFmtId="164" fontId="52" fillId="0" borderId="28" xfId="0" applyNumberFormat="1" applyFont="1" applyBorder="1" applyAlignment="1">
      <alignment horizontal="center" vertical="center" wrapText="1" readingOrder="1"/>
    </xf>
    <xf numFmtId="0" fontId="52" fillId="0" borderId="27" xfId="0" applyFont="1" applyBorder="1" applyAlignment="1">
      <alignment horizontal="center" vertical="center" wrapText="1"/>
    </xf>
    <xf numFmtId="164" fontId="52" fillId="0" borderId="29" xfId="0" applyNumberFormat="1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164" fontId="52" fillId="0" borderId="30" xfId="3" applyNumberFormat="1" applyFont="1" applyBorder="1" applyAlignment="1">
      <alignment horizontal="center" vertical="center"/>
    </xf>
    <xf numFmtId="0" fontId="60" fillId="0" borderId="31" xfId="0" applyFont="1" applyBorder="1" applyAlignment="1">
      <alignment horizontal="center" vertical="center" wrapText="1" readingOrder="1"/>
    </xf>
    <xf numFmtId="0" fontId="60" fillId="0" borderId="0" xfId="0" applyFont="1" applyAlignment="1">
      <alignment horizontal="center" vertical="center" wrapText="1" readingOrder="1"/>
    </xf>
    <xf numFmtId="164" fontId="60" fillId="0" borderId="30" xfId="3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1" fontId="52" fillId="0" borderId="0" xfId="3" applyNumberFormat="1" applyFont="1" applyAlignment="1">
      <alignment horizontal="center" vertical="center"/>
    </xf>
    <xf numFmtId="164" fontId="52" fillId="0" borderId="29" xfId="3" applyNumberFormat="1" applyFont="1" applyBorder="1" applyAlignment="1">
      <alignment horizontal="center" vertical="center"/>
    </xf>
    <xf numFmtId="164" fontId="52" fillId="0" borderId="26" xfId="3" applyNumberFormat="1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 wrapText="1"/>
    </xf>
    <xf numFmtId="0" fontId="52" fillId="0" borderId="22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164" fontId="52" fillId="0" borderId="22" xfId="3" applyNumberFormat="1" applyFont="1" applyBorder="1" applyAlignment="1">
      <alignment horizontal="center" vertical="center" wrapText="1"/>
    </xf>
    <xf numFmtId="164" fontId="52" fillId="0" borderId="26" xfId="3" applyNumberFormat="1" applyFont="1" applyBorder="1" applyAlignment="1">
      <alignment horizontal="center" vertical="center" wrapText="1"/>
    </xf>
    <xf numFmtId="0" fontId="52" fillId="0" borderId="0" xfId="3" applyFont="1" applyAlignment="1">
      <alignment horizontal="center" vertical="center" wrapText="1"/>
    </xf>
    <xf numFmtId="0" fontId="52" fillId="0" borderId="31" xfId="3" applyFont="1" applyBorder="1" applyAlignment="1">
      <alignment horizontal="center" vertical="center" wrapText="1"/>
    </xf>
    <xf numFmtId="164" fontId="52" fillId="0" borderId="0" xfId="3" applyNumberFormat="1" applyFont="1" applyAlignment="1">
      <alignment horizontal="center" vertical="center" wrapText="1"/>
    </xf>
    <xf numFmtId="164" fontId="52" fillId="0" borderId="30" xfId="3" applyNumberFormat="1" applyFont="1" applyBorder="1" applyAlignment="1">
      <alignment horizontal="center" vertical="center" wrapText="1"/>
    </xf>
    <xf numFmtId="0" fontId="52" fillId="0" borderId="29" xfId="3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 readingOrder="1"/>
    </xf>
    <xf numFmtId="164" fontId="52" fillId="0" borderId="29" xfId="3" applyNumberFormat="1" applyFont="1" applyBorder="1" applyAlignment="1">
      <alignment horizontal="center" vertical="center" wrapText="1"/>
    </xf>
    <xf numFmtId="164" fontId="52" fillId="0" borderId="28" xfId="3" applyNumberFormat="1" applyFont="1" applyBorder="1" applyAlignment="1">
      <alignment horizontal="center" vertical="center" wrapText="1"/>
    </xf>
    <xf numFmtId="0" fontId="52" fillId="0" borderId="26" xfId="3" applyFont="1" applyBorder="1" applyAlignment="1">
      <alignment horizontal="center" vertical="center" wrapText="1"/>
    </xf>
    <xf numFmtId="0" fontId="52" fillId="0" borderId="30" xfId="3" applyFont="1" applyBorder="1" applyAlignment="1">
      <alignment horizontal="center" vertical="center" wrapText="1"/>
    </xf>
    <xf numFmtId="0" fontId="52" fillId="0" borderId="28" xfId="3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 wrapText="1"/>
    </xf>
    <xf numFmtId="0" fontId="48" fillId="33" borderId="24" xfId="1237" applyFont="1" applyFill="1" applyBorder="1" applyAlignment="1">
      <alignment horizontal="center" vertical="center" wrapText="1"/>
    </xf>
    <xf numFmtId="0" fontId="49" fillId="0" borderId="24" xfId="1237" applyFont="1" applyBorder="1"/>
    <xf numFmtId="0" fontId="49" fillId="0" borderId="25" xfId="1237" applyFont="1" applyBorder="1"/>
    <xf numFmtId="0" fontId="4" fillId="0" borderId="23" xfId="1237" applyBorder="1" applyAlignment="1">
      <alignment horizontal="left"/>
    </xf>
    <xf numFmtId="164" fontId="52" fillId="0" borderId="26" xfId="0" applyNumberFormat="1" applyFont="1" applyBorder="1" applyAlignment="1">
      <alignment horizontal="center" vertical="center" wrapText="1" readingOrder="1"/>
    </xf>
    <xf numFmtId="49" fontId="52" fillId="0" borderId="30" xfId="0" applyNumberFormat="1" applyFont="1" applyBorder="1" applyAlignment="1">
      <alignment horizontal="center" vertical="center" wrapText="1" readingOrder="1"/>
    </xf>
    <xf numFmtId="0" fontId="52" fillId="0" borderId="26" xfId="5" applyFont="1" applyBorder="1" applyAlignment="1">
      <alignment horizontal="center" vertical="center" wrapText="1" readingOrder="1"/>
    </xf>
    <xf numFmtId="0" fontId="52" fillId="0" borderId="31" xfId="5" applyFont="1" applyBorder="1" applyAlignment="1">
      <alignment horizontal="center" vertical="center" wrapText="1" readingOrder="1"/>
    </xf>
    <xf numFmtId="0" fontId="4" fillId="0" borderId="22" xfId="5" applyFont="1" applyBorder="1" applyAlignment="1">
      <alignment horizontal="center" vertical="center"/>
    </xf>
    <xf numFmtId="49" fontId="4" fillId="0" borderId="22" xfId="5" applyNumberFormat="1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18" xfId="1237" applyBorder="1"/>
    <xf numFmtId="0" fontId="52" fillId="0" borderId="33" xfId="0" applyFont="1" applyBorder="1" applyAlignment="1">
      <alignment horizontal="center" vertical="center" wrapText="1" readingOrder="2"/>
    </xf>
    <xf numFmtId="0" fontId="52" fillId="0" borderId="34" xfId="0" applyFont="1" applyBorder="1" applyAlignment="1">
      <alignment horizontal="right" vertical="center" wrapText="1"/>
    </xf>
    <xf numFmtId="0" fontId="52" fillId="0" borderId="35" xfId="0" applyFont="1" applyBorder="1" applyAlignment="1">
      <alignment horizontal="center" vertical="center" wrapText="1" readingOrder="2"/>
    </xf>
    <xf numFmtId="0" fontId="52" fillId="0" borderId="36" xfId="0" applyFont="1" applyBorder="1" applyAlignment="1">
      <alignment horizontal="right" vertical="center" wrapText="1"/>
    </xf>
    <xf numFmtId="0" fontId="52" fillId="0" borderId="37" xfId="0" applyFont="1" applyBorder="1" applyAlignment="1">
      <alignment horizontal="center" vertical="center" wrapText="1" readingOrder="2"/>
    </xf>
    <xf numFmtId="0" fontId="52" fillId="0" borderId="40" xfId="0" applyFont="1" applyBorder="1" applyAlignment="1">
      <alignment horizontal="right" vertical="center" wrapText="1"/>
    </xf>
    <xf numFmtId="0" fontId="52" fillId="0" borderId="34" xfId="0" applyFont="1" applyBorder="1" applyAlignment="1">
      <alignment vertical="center" wrapText="1"/>
    </xf>
    <xf numFmtId="0" fontId="52" fillId="0" borderId="40" xfId="0" applyFont="1" applyBorder="1" applyAlignment="1">
      <alignment vertical="center" wrapText="1"/>
    </xf>
    <xf numFmtId="0" fontId="52" fillId="0" borderId="36" xfId="0" applyFont="1" applyBorder="1" applyAlignment="1">
      <alignment vertical="center" wrapText="1"/>
    </xf>
    <xf numFmtId="0" fontId="52" fillId="0" borderId="47" xfId="0" applyFont="1" applyBorder="1" applyAlignment="1">
      <alignment horizontal="center" vertical="center" wrapText="1" readingOrder="2"/>
    </xf>
    <xf numFmtId="0" fontId="52" fillId="0" borderId="48" xfId="0" applyFont="1" applyBorder="1" applyAlignment="1">
      <alignment horizontal="center" vertical="center" wrapText="1" readingOrder="2"/>
    </xf>
    <xf numFmtId="0" fontId="52" fillId="0" borderId="49" xfId="0" applyFont="1" applyBorder="1" applyAlignment="1">
      <alignment horizontal="right" vertical="center" wrapText="1"/>
    </xf>
    <xf numFmtId="0" fontId="52" fillId="0" borderId="49" xfId="0" applyFont="1" applyBorder="1" applyAlignment="1">
      <alignment vertical="center" wrapText="1"/>
    </xf>
    <xf numFmtId="0" fontId="52" fillId="0" borderId="50" xfId="0" applyFont="1" applyBorder="1" applyAlignment="1">
      <alignment horizontal="center" vertical="center" wrapText="1" readingOrder="2"/>
    </xf>
    <xf numFmtId="0" fontId="52" fillId="0" borderId="51" xfId="0" applyFont="1" applyBorder="1" applyAlignment="1">
      <alignment horizontal="center" vertical="center" wrapText="1" readingOrder="2"/>
    </xf>
    <xf numFmtId="0" fontId="52" fillId="0" borderId="52" xfId="0" applyFont="1" applyBorder="1" applyAlignment="1">
      <alignment horizontal="center" vertical="center" wrapText="1" readingOrder="2"/>
    </xf>
    <xf numFmtId="0" fontId="52" fillId="0" borderId="49" xfId="0" applyFont="1" applyBorder="1" applyAlignment="1">
      <alignment vertical="center" wrapText="1" readingOrder="2"/>
    </xf>
    <xf numFmtId="0" fontId="52" fillId="0" borderId="34" xfId="0" applyFont="1" applyBorder="1" applyAlignment="1">
      <alignment horizontal="right" vertical="center" wrapText="1" readingOrder="2"/>
    </xf>
    <xf numFmtId="0" fontId="52" fillId="0" borderId="36" xfId="0" applyFont="1" applyBorder="1" applyAlignment="1">
      <alignment horizontal="right" vertical="center" wrapText="1" readingOrder="2"/>
    </xf>
    <xf numFmtId="0" fontId="52" fillId="0" borderId="48" xfId="0" applyFont="1" applyBorder="1" applyAlignment="1">
      <alignment horizontal="center" vertical="center" wrapText="1"/>
    </xf>
    <xf numFmtId="0" fontId="52" fillId="0" borderId="53" xfId="0" applyFont="1" applyBorder="1" applyAlignment="1">
      <alignment horizontal="right" vertical="center" wrapText="1" readingOrder="2"/>
    </xf>
    <xf numFmtId="0" fontId="52" fillId="0" borderId="33" xfId="0" applyFont="1" applyBorder="1" applyAlignment="1">
      <alignment horizontal="center" vertical="center" wrapText="1"/>
    </xf>
    <xf numFmtId="0" fontId="52" fillId="0" borderId="12" xfId="0" applyFont="1" applyBorder="1" applyAlignment="1">
      <alignment horizontal="right" vertical="center" wrapText="1" readingOrder="2"/>
    </xf>
    <xf numFmtId="0" fontId="52" fillId="0" borderId="35" xfId="0" applyFont="1" applyBorder="1" applyAlignment="1">
      <alignment horizontal="center" vertical="center" wrapText="1"/>
    </xf>
    <xf numFmtId="0" fontId="52" fillId="0" borderId="17" xfId="0" applyFont="1" applyBorder="1" applyAlignment="1">
      <alignment horizontal="right" vertical="center" wrapText="1" readingOrder="2"/>
    </xf>
    <xf numFmtId="0" fontId="52" fillId="0" borderId="54" xfId="0" applyFont="1" applyBorder="1" applyAlignment="1">
      <alignment horizontal="center" vertical="center" wrapText="1"/>
    </xf>
    <xf numFmtId="0" fontId="52" fillId="0" borderId="49" xfId="0" applyFont="1" applyBorder="1" applyAlignment="1">
      <alignment horizontal="right" vertical="center" wrapText="1" readingOrder="2"/>
    </xf>
    <xf numFmtId="0" fontId="52" fillId="0" borderId="54" xfId="0" applyFont="1" applyBorder="1" applyAlignment="1">
      <alignment horizontal="center" vertical="center" wrapText="1" readingOrder="2"/>
    </xf>
    <xf numFmtId="0" fontId="52" fillId="0" borderId="31" xfId="0" applyFont="1" applyBorder="1" applyAlignment="1">
      <alignment horizontal="center" vertical="center" wrapText="1" readingOrder="2"/>
    </xf>
    <xf numFmtId="0" fontId="52" fillId="0" borderId="30" xfId="3" applyFont="1" applyBorder="1" applyAlignment="1">
      <alignment horizontal="center" vertical="center"/>
    </xf>
    <xf numFmtId="0" fontId="52" fillId="42" borderId="23" xfId="0" applyFont="1" applyFill="1" applyBorder="1" applyAlignment="1">
      <alignment horizontal="center" vertical="center" wrapText="1"/>
    </xf>
    <xf numFmtId="0" fontId="52" fillId="0" borderId="29" xfId="3" applyFont="1" applyBorder="1" applyAlignment="1">
      <alignment horizontal="center" vertical="center"/>
    </xf>
    <xf numFmtId="49" fontId="52" fillId="0" borderId="25" xfId="3" applyNumberFormat="1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 wrapText="1"/>
    </xf>
    <xf numFmtId="164" fontId="52" fillId="0" borderId="23" xfId="0" applyNumberFormat="1" applyFont="1" applyBorder="1" applyAlignment="1">
      <alignment horizontal="center" vertical="center" wrapText="1"/>
    </xf>
    <xf numFmtId="2" fontId="52" fillId="0" borderId="23" xfId="0" applyNumberFormat="1" applyFont="1" applyBorder="1" applyAlignment="1">
      <alignment horizontal="center" vertical="center" wrapText="1"/>
    </xf>
    <xf numFmtId="164" fontId="52" fillId="0" borderId="24" xfId="0" applyNumberFormat="1" applyFont="1" applyBorder="1" applyAlignment="1">
      <alignment horizontal="center" vertical="center" wrapText="1"/>
    </xf>
    <xf numFmtId="2" fontId="52" fillId="0" borderId="24" xfId="0" applyNumberFormat="1" applyFont="1" applyBorder="1" applyAlignment="1">
      <alignment horizontal="center" vertical="center" wrapText="1"/>
    </xf>
    <xf numFmtId="0" fontId="52" fillId="0" borderId="25" xfId="3" applyFont="1" applyBorder="1" applyAlignment="1">
      <alignment horizontal="center" vertical="center"/>
    </xf>
    <xf numFmtId="164" fontId="52" fillId="0" borderId="25" xfId="3" applyNumberFormat="1" applyFont="1" applyBorder="1" applyAlignment="1">
      <alignment horizontal="center" vertical="center"/>
    </xf>
    <xf numFmtId="2" fontId="52" fillId="0" borderId="25" xfId="0" applyNumberFormat="1" applyFont="1" applyBorder="1" applyAlignment="1">
      <alignment horizontal="center" vertical="center" wrapText="1"/>
    </xf>
    <xf numFmtId="0" fontId="60" fillId="0" borderId="31" xfId="3" applyFont="1" applyBorder="1" applyAlignment="1">
      <alignment horizontal="center" vertical="center"/>
    </xf>
    <xf numFmtId="0" fontId="60" fillId="0" borderId="27" xfId="3" applyFont="1" applyBorder="1" applyAlignment="1">
      <alignment horizontal="center" vertical="center"/>
    </xf>
    <xf numFmtId="0" fontId="48" fillId="34" borderId="19" xfId="0" applyFont="1" applyFill="1" applyBorder="1" applyAlignment="1">
      <alignment horizontal="center" vertical="center" wrapText="1"/>
    </xf>
    <xf numFmtId="0" fontId="48" fillId="34" borderId="20" xfId="0" applyFont="1" applyFill="1" applyBorder="1" applyAlignment="1">
      <alignment horizontal="center" vertical="center" wrapText="1"/>
    </xf>
    <xf numFmtId="0" fontId="48" fillId="34" borderId="18" xfId="0" applyFont="1" applyFill="1" applyBorder="1" applyAlignment="1">
      <alignment horizontal="center" vertical="center" wrapText="1"/>
    </xf>
    <xf numFmtId="0" fontId="51" fillId="0" borderId="24" xfId="3" applyFont="1" applyBorder="1" applyAlignment="1">
      <alignment horizontal="center" vertical="center"/>
    </xf>
    <xf numFmtId="0" fontId="51" fillId="0" borderId="25" xfId="3" applyFont="1" applyBorder="1" applyAlignment="1">
      <alignment horizontal="center" vertical="center"/>
    </xf>
    <xf numFmtId="0" fontId="52" fillId="0" borderId="31" xfId="3" applyFont="1" applyBorder="1" applyAlignment="1">
      <alignment horizontal="center" vertical="center"/>
    </xf>
    <xf numFmtId="0" fontId="52" fillId="0" borderId="0" xfId="3" applyFont="1" applyAlignment="1">
      <alignment horizontal="center" vertical="center"/>
    </xf>
    <xf numFmtId="0" fontId="52" fillId="0" borderId="27" xfId="3" applyFont="1" applyBorder="1" applyAlignment="1">
      <alignment horizontal="center" vertical="center"/>
    </xf>
    <xf numFmtId="164" fontId="4" fillId="0" borderId="23" xfId="1237" applyNumberFormat="1" applyBorder="1" applyAlignment="1">
      <alignment horizontal="center" vertical="center"/>
    </xf>
    <xf numFmtId="164" fontId="4" fillId="0" borderId="24" xfId="1237" applyNumberFormat="1" applyBorder="1" applyAlignment="1">
      <alignment horizontal="center" vertical="center"/>
    </xf>
    <xf numFmtId="164" fontId="4" fillId="0" borderId="25" xfId="1237" applyNumberFormat="1" applyBorder="1" applyAlignment="1">
      <alignment horizontal="center" vertical="center"/>
    </xf>
    <xf numFmtId="0" fontId="49" fillId="0" borderId="18" xfId="1237" applyFont="1" applyBorder="1" applyAlignment="1">
      <alignment horizontal="center" vertical="center"/>
    </xf>
    <xf numFmtId="0" fontId="49" fillId="0" borderId="18" xfId="1237" applyFont="1" applyBorder="1" applyAlignment="1">
      <alignment horizontal="center"/>
    </xf>
    <xf numFmtId="0" fontId="49" fillId="0" borderId="21" xfId="1237" applyFont="1" applyBorder="1" applyAlignment="1">
      <alignment horizontal="center"/>
    </xf>
    <xf numFmtId="0" fontId="61" fillId="0" borderId="19" xfId="3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7" fillId="0" borderId="23" xfId="1237" applyFont="1" applyBorder="1" applyAlignment="1">
      <alignment horizontal="left"/>
    </xf>
    <xf numFmtId="0" fontId="57" fillId="0" borderId="0" xfId="1237" applyFont="1"/>
    <xf numFmtId="0" fontId="4" fillId="0" borderId="23" xfId="1237" applyBorder="1" applyAlignment="1">
      <alignment vertical="center"/>
    </xf>
    <xf numFmtId="0" fontId="4" fillId="0" borderId="26" xfId="1237" applyBorder="1" applyAlignment="1">
      <alignment horizontal="center" vertical="center"/>
    </xf>
    <xf numFmtId="0" fontId="4" fillId="0" borderId="24" xfId="1237" applyBorder="1" applyAlignment="1">
      <alignment vertical="center"/>
    </xf>
    <xf numFmtId="0" fontId="4" fillId="0" borderId="30" xfId="1237" applyBorder="1" applyAlignment="1">
      <alignment horizontal="center" vertical="center"/>
    </xf>
    <xf numFmtId="0" fontId="60" fillId="0" borderId="31" xfId="3" applyFont="1" applyBorder="1" applyAlignment="1">
      <alignment horizontal="center" vertical="center" wrapText="1"/>
    </xf>
    <xf numFmtId="0" fontId="4" fillId="0" borderId="25" xfId="1237" applyBorder="1" applyAlignment="1">
      <alignment vertical="center"/>
    </xf>
    <xf numFmtId="0" fontId="4" fillId="0" borderId="28" xfId="1237" applyBorder="1" applyAlignment="1">
      <alignment horizontal="center" vertical="center"/>
    </xf>
    <xf numFmtId="0" fontId="48" fillId="34" borderId="18" xfId="1237" applyFont="1" applyFill="1" applyBorder="1" applyAlignment="1">
      <alignment horizontal="center"/>
    </xf>
    <xf numFmtId="0" fontId="51" fillId="0" borderId="32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/>
    </xf>
    <xf numFmtId="0" fontId="51" fillId="0" borderId="31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 vertical="center"/>
    </xf>
    <xf numFmtId="0" fontId="52" fillId="0" borderId="32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26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19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20" xfId="0" applyFont="1" applyBorder="1" applyAlignment="1">
      <alignment vertical="center"/>
    </xf>
    <xf numFmtId="0" fontId="52" fillId="0" borderId="19" xfId="0" applyFont="1" applyBorder="1" applyAlignment="1">
      <alignment vertical="center"/>
    </xf>
    <xf numFmtId="0" fontId="52" fillId="0" borderId="21" xfId="0" applyFont="1" applyBorder="1" applyAlignment="1">
      <alignment vertical="center"/>
    </xf>
    <xf numFmtId="0" fontId="52" fillId="0" borderId="28" xfId="0" applyFont="1" applyBorder="1" applyAlignment="1">
      <alignment horizontal="center" vertical="center"/>
    </xf>
    <xf numFmtId="0" fontId="51" fillId="42" borderId="19" xfId="0" applyFont="1" applyFill="1" applyBorder="1" applyAlignment="1">
      <alignment horizontal="center" vertical="center"/>
    </xf>
    <xf numFmtId="0" fontId="51" fillId="42" borderId="21" xfId="0" applyFont="1" applyFill="1" applyBorder="1" applyAlignment="1">
      <alignment horizontal="center" vertical="center"/>
    </xf>
    <xf numFmtId="0" fontId="52" fillId="42" borderId="31" xfId="0" applyFont="1" applyFill="1" applyBorder="1" applyAlignment="1">
      <alignment horizontal="center" vertical="center"/>
    </xf>
    <xf numFmtId="0" fontId="52" fillId="42" borderId="0" xfId="0" applyFont="1" applyFill="1" applyAlignment="1">
      <alignment horizontal="center" vertical="center"/>
    </xf>
    <xf numFmtId="0" fontId="52" fillId="42" borderId="30" xfId="0" applyFont="1" applyFill="1" applyBorder="1" applyAlignment="1">
      <alignment horizontal="center" vertical="center"/>
    </xf>
    <xf numFmtId="0" fontId="52" fillId="42" borderId="27" xfId="0" applyFont="1" applyFill="1" applyBorder="1" applyAlignment="1">
      <alignment horizontal="center" vertical="center"/>
    </xf>
    <xf numFmtId="0" fontId="52" fillId="42" borderId="28" xfId="0" applyFont="1" applyFill="1" applyBorder="1" applyAlignment="1">
      <alignment horizontal="center" vertical="center"/>
    </xf>
    <xf numFmtId="0" fontId="48" fillId="33" borderId="18" xfId="0" applyFont="1" applyFill="1" applyBorder="1" applyAlignment="1">
      <alignment horizontal="center" vertical="center" readingOrder="2"/>
    </xf>
    <xf numFmtId="0" fontId="48" fillId="33" borderId="18" xfId="3" applyFont="1" applyFill="1" applyBorder="1" applyAlignment="1">
      <alignment horizontal="center" vertical="center"/>
    </xf>
    <xf numFmtId="0" fontId="4" fillId="0" borderId="18" xfId="1" applyFont="1" applyBorder="1" applyAlignment="1">
      <alignment horizontal="right" vertical="center" readingOrder="2"/>
    </xf>
    <xf numFmtId="0" fontId="57" fillId="0" borderId="0" xfId="0" applyFont="1" applyAlignment="1">
      <alignment horizontal="right" wrapText="1"/>
    </xf>
    <xf numFmtId="0" fontId="4" fillId="0" borderId="0" xfId="0" applyFont="1"/>
    <xf numFmtId="0" fontId="57" fillId="0" borderId="0" xfId="0" applyFont="1" applyAlignment="1">
      <alignment horizontal="left" wrapText="1"/>
    </xf>
    <xf numFmtId="0" fontId="48" fillId="33" borderId="21" xfId="3" applyFont="1" applyFill="1" applyBorder="1" applyAlignment="1">
      <alignment horizontal="center" vertical="center" wrapText="1" readingOrder="1"/>
    </xf>
    <xf numFmtId="0" fontId="0" fillId="0" borderId="30" xfId="0" applyBorder="1"/>
    <xf numFmtId="0" fontId="0" fillId="0" borderId="28" xfId="0" applyBorder="1"/>
    <xf numFmtId="0" fontId="48" fillId="33" borderId="18" xfId="0" applyFont="1" applyFill="1" applyBorder="1" applyAlignment="1">
      <alignment horizontal="center" vertical="center" wrapText="1" readingOrder="1"/>
    </xf>
    <xf numFmtId="0" fontId="0" fillId="0" borderId="20" xfId="0" applyBorder="1"/>
    <xf numFmtId="0" fontId="0" fillId="0" borderId="21" xfId="0" applyBorder="1"/>
    <xf numFmtId="0" fontId="48" fillId="33" borderId="25" xfId="0" applyFont="1" applyFill="1" applyBorder="1" applyAlignment="1">
      <alignment horizontal="center" vertical="center" readingOrder="1"/>
    </xf>
    <xf numFmtId="0" fontId="0" fillId="0" borderId="29" xfId="0" applyBorder="1"/>
    <xf numFmtId="0" fontId="48" fillId="33" borderId="23" xfId="0" applyFont="1" applyFill="1" applyBorder="1" applyAlignment="1">
      <alignment horizontal="center" vertical="center" readingOrder="1"/>
    </xf>
    <xf numFmtId="0" fontId="0" fillId="0" borderId="22" xfId="0" applyBorder="1"/>
    <xf numFmtId="0" fontId="0" fillId="0" borderId="26" xfId="0" applyBorder="1"/>
    <xf numFmtId="0" fontId="48" fillId="33" borderId="23" xfId="0" applyFont="1" applyFill="1" applyBorder="1" applyAlignment="1">
      <alignment horizontal="center" vertical="center" wrapText="1" readingOrder="1"/>
    </xf>
    <xf numFmtId="0" fontId="48" fillId="33" borderId="25" xfId="0" applyFont="1" applyFill="1" applyBorder="1" applyAlignment="1">
      <alignment horizontal="center" vertical="center" wrapText="1" readingOrder="1"/>
    </xf>
    <xf numFmtId="0" fontId="0" fillId="0" borderId="24" xfId="0" applyBorder="1"/>
    <xf numFmtId="0" fontId="48" fillId="33" borderId="21" xfId="3" applyFont="1" applyFill="1" applyBorder="1" applyAlignment="1">
      <alignment horizontal="center" vertical="center" wrapText="1"/>
    </xf>
    <xf numFmtId="0" fontId="48" fillId="33" borderId="21" xfId="5" applyFont="1" applyFill="1" applyBorder="1" applyAlignment="1">
      <alignment horizontal="center" vertical="center" wrapText="1" readingOrder="2"/>
    </xf>
    <xf numFmtId="0" fontId="49" fillId="0" borderId="0" xfId="5" applyFont="1" applyAlignment="1">
      <alignment horizontal="center" vertical="center"/>
    </xf>
    <xf numFmtId="0" fontId="49" fillId="0" borderId="0" xfId="5" applyFont="1" applyAlignment="1">
      <alignment horizontal="right" vertical="center"/>
    </xf>
    <xf numFmtId="0" fontId="48" fillId="33" borderId="18" xfId="0" applyFont="1" applyFill="1" applyBorder="1" applyAlignment="1">
      <alignment horizontal="center" vertical="center"/>
    </xf>
    <xf numFmtId="0" fontId="0" fillId="0" borderId="25" xfId="0" applyBorder="1"/>
    <xf numFmtId="0" fontId="49" fillId="0" borderId="0" xfId="5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48" fillId="33" borderId="28" xfId="1237" applyFont="1" applyFill="1" applyBorder="1" applyAlignment="1">
      <alignment horizontal="center" vertical="center" wrapText="1"/>
    </xf>
    <xf numFmtId="0" fontId="48" fillId="33" borderId="21" xfId="1237" applyFont="1" applyFill="1" applyBorder="1" applyAlignment="1">
      <alignment horizontal="center" vertical="center" wrapText="1"/>
    </xf>
    <xf numFmtId="0" fontId="48" fillId="33" borderId="18" xfId="1237" applyFont="1" applyFill="1" applyBorder="1" applyAlignment="1">
      <alignment horizontal="center" vertical="center" wrapText="1"/>
    </xf>
    <xf numFmtId="0" fontId="49" fillId="0" borderId="0" xfId="1237" applyFont="1" applyAlignment="1">
      <alignment horizontal="left"/>
    </xf>
    <xf numFmtId="0" fontId="48" fillId="33" borderId="19" xfId="1237" applyFont="1" applyFill="1" applyBorder="1" applyAlignment="1">
      <alignment horizontal="center" vertical="center" wrapText="1"/>
    </xf>
    <xf numFmtId="0" fontId="0" fillId="0" borderId="27" xfId="0" applyBorder="1"/>
    <xf numFmtId="0" fontId="48" fillId="33" borderId="26" xfId="1237" applyFont="1" applyFill="1" applyBorder="1" applyAlignment="1">
      <alignment horizontal="center" vertical="center" wrapText="1"/>
    </xf>
    <xf numFmtId="0" fontId="48" fillId="33" borderId="23" xfId="1237" applyFont="1" applyFill="1" applyBorder="1" applyAlignment="1">
      <alignment horizontal="center" vertical="center" wrapText="1"/>
    </xf>
    <xf numFmtId="0" fontId="48" fillId="33" borderId="25" xfId="1237" applyFont="1" applyFill="1" applyBorder="1" applyAlignment="1">
      <alignment horizontal="center" vertical="center" wrapText="1"/>
    </xf>
    <xf numFmtId="0" fontId="52" fillId="0" borderId="33" xfId="0" applyFont="1" applyBorder="1" applyAlignment="1">
      <alignment horizontal="center" vertical="center" wrapText="1" readingOrder="2"/>
    </xf>
    <xf numFmtId="0" fontId="52" fillId="0" borderId="35" xfId="0" applyFont="1" applyBorder="1" applyAlignment="1">
      <alignment horizontal="center" vertical="center" wrapText="1" readingOrder="2"/>
    </xf>
    <xf numFmtId="0" fontId="52" fillId="0" borderId="24" xfId="0" applyFont="1" applyBorder="1" applyAlignment="1">
      <alignment horizontal="center" vertical="center" wrapText="1" readingOrder="2"/>
    </xf>
    <xf numFmtId="0" fontId="52" fillId="0" borderId="46" xfId="0" applyFont="1" applyBorder="1" applyAlignment="1">
      <alignment horizontal="center" vertical="center" wrapText="1" readingOrder="2"/>
    </xf>
    <xf numFmtId="0" fontId="52" fillId="0" borderId="44" xfId="0" applyFont="1" applyBorder="1" applyAlignment="1">
      <alignment horizontal="center" vertical="center" wrapText="1" readingOrder="2"/>
    </xf>
    <xf numFmtId="0" fontId="52" fillId="0" borderId="45" xfId="0" applyFont="1" applyBorder="1" applyAlignment="1">
      <alignment horizontal="center" vertical="center" wrapText="1" readingOrder="2"/>
    </xf>
    <xf numFmtId="0" fontId="52" fillId="0" borderId="43" xfId="0" applyFont="1" applyBorder="1" applyAlignment="1">
      <alignment horizontal="center" vertical="center" wrapText="1" readingOrder="2"/>
    </xf>
    <xf numFmtId="0" fontId="52" fillId="0" borderId="38" xfId="0" applyFont="1" applyBorder="1" applyAlignment="1">
      <alignment horizontal="center" vertical="center" wrapText="1" readingOrder="2"/>
    </xf>
    <xf numFmtId="0" fontId="52" fillId="0" borderId="18" xfId="0" applyFont="1" applyBorder="1" applyAlignment="1">
      <alignment horizontal="center" vertical="center" wrapText="1" readingOrder="2"/>
    </xf>
    <xf numFmtId="0" fontId="52" fillId="0" borderId="42" xfId="0" applyFont="1" applyBorder="1" applyAlignment="1">
      <alignment horizontal="center" vertical="center" wrapText="1" readingOrder="2"/>
    </xf>
    <xf numFmtId="0" fontId="52" fillId="0" borderId="25" xfId="0" applyFont="1" applyBorder="1" applyAlignment="1">
      <alignment horizontal="center" vertical="center" wrapText="1" readingOrder="2"/>
    </xf>
    <xf numFmtId="0" fontId="52" fillId="0" borderId="37" xfId="0" applyFont="1" applyBorder="1" applyAlignment="1">
      <alignment horizontal="center" vertical="center" wrapText="1" readingOrder="2"/>
    </xf>
    <xf numFmtId="0" fontId="52" fillId="0" borderId="39" xfId="0" applyFont="1" applyBorder="1" applyAlignment="1">
      <alignment horizontal="center" vertical="center" wrapText="1" readingOrder="2"/>
    </xf>
    <xf numFmtId="0" fontId="52" fillId="0" borderId="41" xfId="0" applyFont="1" applyBorder="1" applyAlignment="1">
      <alignment horizontal="center" vertical="center" wrapText="1" readingOrder="2"/>
    </xf>
    <xf numFmtId="0" fontId="52" fillId="0" borderId="10" xfId="0" applyFont="1" applyBorder="1" applyAlignment="1">
      <alignment horizontal="center" vertical="center" wrapText="1" readingOrder="2"/>
    </xf>
    <xf numFmtId="0" fontId="52" fillId="0" borderId="15" xfId="0" applyFont="1" applyBorder="1" applyAlignment="1">
      <alignment horizontal="center" vertical="center" wrapText="1" readingOrder="2"/>
    </xf>
    <xf numFmtId="0" fontId="52" fillId="0" borderId="50" xfId="0" applyFont="1" applyBorder="1" applyAlignment="1">
      <alignment horizontal="center" vertical="center" wrapText="1" readingOrder="2"/>
    </xf>
    <xf numFmtId="0" fontId="52" fillId="0" borderId="51" xfId="0" applyFont="1" applyBorder="1" applyAlignment="1">
      <alignment horizontal="center" vertical="center" wrapText="1" readingOrder="2"/>
    </xf>
    <xf numFmtId="0" fontId="52" fillId="0" borderId="50" xfId="0" applyFont="1" applyBorder="1" applyAlignment="1">
      <alignment horizontal="center" vertical="center" wrapText="1"/>
    </xf>
    <xf numFmtId="0" fontId="52" fillId="0" borderId="51" xfId="0" applyFont="1" applyBorder="1" applyAlignment="1">
      <alignment horizontal="center" vertical="center" wrapText="1"/>
    </xf>
    <xf numFmtId="0" fontId="52" fillId="0" borderId="34" xfId="0" applyFont="1" applyBorder="1" applyAlignment="1">
      <alignment horizontal="right" vertical="center" wrapText="1" readingOrder="2"/>
    </xf>
    <xf numFmtId="0" fontId="52" fillId="0" borderId="40" xfId="0" applyFont="1" applyBorder="1" applyAlignment="1">
      <alignment horizontal="right" vertical="center" wrapText="1" readingOrder="2"/>
    </xf>
    <xf numFmtId="0" fontId="49" fillId="0" borderId="0" xfId="1237" applyFont="1" applyAlignment="1">
      <alignment horizontal="right"/>
    </xf>
    <xf numFmtId="0" fontId="63" fillId="0" borderId="0" xfId="1" applyFont="1" applyAlignment="1">
      <alignment horizontal="center"/>
    </xf>
    <xf numFmtId="0" fontId="48" fillId="33" borderId="24" xfId="1237" applyFont="1" applyFill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textRotation="90"/>
    </xf>
    <xf numFmtId="0" fontId="52" fillId="0" borderId="24" xfId="0" applyFont="1" applyBorder="1" applyAlignment="1">
      <alignment horizontal="center" vertical="center" textRotation="90"/>
    </xf>
    <xf numFmtId="0" fontId="52" fillId="0" borderId="25" xfId="0" applyFont="1" applyBorder="1" applyAlignment="1">
      <alignment horizontal="center" vertical="center" textRotation="90"/>
    </xf>
    <xf numFmtId="0" fontId="52" fillId="0" borderId="26" xfId="3" applyFont="1" applyBorder="1" applyAlignment="1">
      <alignment horizontal="center" vertical="center" textRotation="180"/>
    </xf>
    <xf numFmtId="0" fontId="52" fillId="0" borderId="30" xfId="3" applyFont="1" applyBorder="1" applyAlignment="1">
      <alignment horizontal="center" vertical="center" textRotation="180"/>
    </xf>
    <xf numFmtId="0" fontId="52" fillId="0" borderId="28" xfId="3" applyFont="1" applyBorder="1" applyAlignment="1">
      <alignment horizontal="center" vertical="center" textRotation="180"/>
    </xf>
    <xf numFmtId="0" fontId="48" fillId="33" borderId="31" xfId="1237" applyFont="1" applyFill="1" applyBorder="1" applyAlignment="1">
      <alignment horizontal="center" vertical="center" wrapText="1"/>
    </xf>
    <xf numFmtId="0" fontId="48" fillId="33" borderId="0" xfId="1237" applyFont="1" applyFill="1" applyAlignment="1">
      <alignment horizontal="center" vertical="center" wrapText="1"/>
    </xf>
    <xf numFmtId="0" fontId="48" fillId="33" borderId="27" xfId="1237" applyFont="1" applyFill="1" applyBorder="1" applyAlignment="1">
      <alignment horizontal="center" vertical="center" wrapText="1"/>
    </xf>
    <xf numFmtId="0" fontId="48" fillId="33" borderId="29" xfId="1237" applyFont="1" applyFill="1" applyBorder="1" applyAlignment="1">
      <alignment horizontal="center" vertical="center" wrapText="1"/>
    </xf>
    <xf numFmtId="0" fontId="48" fillId="33" borderId="30" xfId="1237" applyFont="1" applyFill="1" applyBorder="1" applyAlignment="1">
      <alignment horizontal="center" vertical="center" wrapText="1"/>
    </xf>
    <xf numFmtId="0" fontId="4" fillId="42" borderId="21" xfId="5" applyFont="1" applyFill="1" applyBorder="1" applyAlignment="1">
      <alignment horizontal="left" vertical="center" wrapText="1"/>
    </xf>
    <xf numFmtId="0" fontId="4" fillId="42" borderId="18" xfId="5" applyFont="1" applyFill="1" applyBorder="1" applyAlignment="1">
      <alignment horizontal="left" vertical="center" wrapText="1"/>
    </xf>
    <xf numFmtId="0" fontId="4" fillId="0" borderId="24" xfId="5" applyFont="1" applyBorder="1" applyAlignment="1">
      <alignment horizontal="left" vertical="center"/>
    </xf>
    <xf numFmtId="0" fontId="4" fillId="0" borderId="30" xfId="0" applyFont="1" applyBorder="1"/>
    <xf numFmtId="0" fontId="4" fillId="0" borderId="23" xfId="1237" applyBorder="1" applyAlignment="1">
      <alignment horizontal="left"/>
    </xf>
    <xf numFmtId="0" fontId="4" fillId="0" borderId="26" xfId="0" applyFont="1" applyBorder="1"/>
    <xf numFmtId="0" fontId="52" fillId="0" borderId="24" xfId="0" applyFont="1" applyBorder="1" applyAlignment="1">
      <alignment horizontal="right" vertical="center"/>
    </xf>
    <xf numFmtId="0" fontId="0" fillId="0" borderId="31" xfId="0" applyBorder="1"/>
    <xf numFmtId="0" fontId="4" fillId="0" borderId="31" xfId="5" applyFont="1" applyBorder="1" applyAlignment="1">
      <alignment horizontal="left" vertical="center" wrapText="1"/>
    </xf>
    <xf numFmtId="0" fontId="4" fillId="0" borderId="30" xfId="5" applyFont="1" applyBorder="1" applyAlignment="1">
      <alignment horizontal="left" vertical="center" wrapText="1"/>
    </xf>
    <xf numFmtId="0" fontId="52" fillId="0" borderId="32" xfId="0" applyFont="1" applyBorder="1" applyAlignment="1">
      <alignment horizontal="left" vertical="center" readingOrder="2"/>
    </xf>
    <xf numFmtId="0" fontId="52" fillId="0" borderId="26" xfId="0" applyFont="1" applyBorder="1" applyAlignment="1">
      <alignment horizontal="left" vertical="center" readingOrder="2"/>
    </xf>
    <xf numFmtId="0" fontId="52" fillId="0" borderId="24" xfId="0" applyFont="1" applyBorder="1" applyAlignment="1">
      <alignment horizontal="right" vertical="center" wrapText="1"/>
    </xf>
    <xf numFmtId="0" fontId="4" fillId="0" borderId="24" xfId="1237" applyBorder="1" applyAlignment="1">
      <alignment horizontal="left"/>
    </xf>
    <xf numFmtId="0" fontId="62" fillId="0" borderId="23" xfId="0" applyFont="1" applyBorder="1" applyAlignment="1">
      <alignment horizontal="right" vertical="center"/>
    </xf>
    <xf numFmtId="0" fontId="57" fillId="0" borderId="26" xfId="0" applyFont="1" applyBorder="1"/>
    <xf numFmtId="0" fontId="4" fillId="0" borderId="19" xfId="0" applyFont="1" applyBorder="1" applyAlignment="1">
      <alignment horizontal="left" vertical="center" wrapText="1" readingOrder="1"/>
    </xf>
    <xf numFmtId="0" fontId="4" fillId="0" borderId="21" xfId="0" applyFont="1" applyBorder="1" applyAlignment="1">
      <alignment horizontal="left" vertical="center" wrapText="1" readingOrder="1"/>
    </xf>
    <xf numFmtId="0" fontId="4" fillId="0" borderId="27" xfId="0" applyFont="1" applyBorder="1" applyAlignment="1">
      <alignment horizontal="left" vertical="center" wrapText="1" readingOrder="1"/>
    </xf>
    <xf numFmtId="0" fontId="4" fillId="0" borderId="28" xfId="0" applyFont="1" applyBorder="1" applyAlignment="1">
      <alignment horizontal="left" vertical="center" wrapText="1" readingOrder="1"/>
    </xf>
    <xf numFmtId="0" fontId="4" fillId="0" borderId="24" xfId="5" applyFont="1" applyBorder="1" applyAlignment="1">
      <alignment horizontal="left" vertical="center" wrapText="1"/>
    </xf>
    <xf numFmtId="0" fontId="52" fillId="0" borderId="31" xfId="0" applyFont="1" applyBorder="1" applyAlignment="1">
      <alignment horizontal="left" vertical="center" wrapText="1" readingOrder="2"/>
    </xf>
    <xf numFmtId="0" fontId="52" fillId="0" borderId="30" xfId="0" applyFont="1" applyBorder="1" applyAlignment="1">
      <alignment horizontal="left" vertical="center" wrapText="1" readingOrder="2"/>
    </xf>
    <xf numFmtId="0" fontId="62" fillId="0" borderId="23" xfId="0" applyFont="1" applyBorder="1" applyAlignment="1">
      <alignment horizontal="left" vertical="center" wrapText="1" readingOrder="2"/>
    </xf>
    <xf numFmtId="0" fontId="52" fillId="0" borderId="31" xfId="0" applyFont="1" applyBorder="1" applyAlignment="1">
      <alignment horizontal="left" vertical="center" readingOrder="2"/>
    </xf>
    <xf numFmtId="0" fontId="52" fillId="0" borderId="30" xfId="0" applyFont="1" applyBorder="1" applyAlignment="1">
      <alignment horizontal="left" vertical="center" readingOrder="2"/>
    </xf>
    <xf numFmtId="0" fontId="52" fillId="0" borderId="23" xfId="0" applyFont="1" applyBorder="1" applyAlignment="1">
      <alignment horizontal="right" vertical="center"/>
    </xf>
    <xf numFmtId="0" fontId="52" fillId="0" borderId="25" xfId="0" applyFont="1" applyBorder="1" applyAlignment="1">
      <alignment horizontal="left" vertical="center" wrapText="1" readingOrder="2"/>
    </xf>
    <xf numFmtId="0" fontId="4" fillId="0" borderId="28" xfId="0" applyFont="1" applyBorder="1"/>
    <xf numFmtId="0" fontId="4" fillId="0" borderId="24" xfId="1237" applyBorder="1" applyAlignment="1">
      <alignment horizontal="right"/>
    </xf>
    <xf numFmtId="0" fontId="4" fillId="0" borderId="23" xfId="1237" applyBorder="1" applyAlignment="1">
      <alignment horizontal="center" vertical="center"/>
    </xf>
    <xf numFmtId="0" fontId="4" fillId="0" borderId="24" xfId="1237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4" fillId="0" borderId="19" xfId="1237" applyBorder="1" applyAlignment="1">
      <alignment horizontal="center"/>
    </xf>
    <xf numFmtId="0" fontId="4" fillId="0" borderId="20" xfId="1237" applyBorder="1" applyAlignment="1">
      <alignment horizontal="center"/>
    </xf>
    <xf numFmtId="0" fontId="4" fillId="0" borderId="21" xfId="1237" applyBorder="1" applyAlignment="1">
      <alignment horizontal="center"/>
    </xf>
    <xf numFmtId="0" fontId="52" fillId="0" borderId="19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0" fontId="52" fillId="0" borderId="28" xfId="0" applyFont="1" applyBorder="1" applyAlignment="1">
      <alignment horizontal="center" vertical="center" wrapText="1"/>
    </xf>
    <xf numFmtId="0" fontId="49" fillId="0" borderId="19" xfId="1237" applyFont="1" applyBorder="1" applyAlignment="1">
      <alignment horizontal="right"/>
    </xf>
    <xf numFmtId="0" fontId="49" fillId="0" borderId="21" xfId="1237" applyFont="1" applyBorder="1" applyAlignment="1">
      <alignment horizontal="right"/>
    </xf>
    <xf numFmtId="0" fontId="4" fillId="0" borderId="24" xfId="1237" applyBorder="1"/>
    <xf numFmtId="0" fontId="4" fillId="0" borderId="19" xfId="1237" applyBorder="1" applyAlignment="1">
      <alignment horizontal="left"/>
    </xf>
    <xf numFmtId="0" fontId="4" fillId="0" borderId="21" xfId="1237" applyBorder="1" applyAlignment="1">
      <alignment horizontal="left"/>
    </xf>
    <xf numFmtId="0" fontId="49" fillId="0" borderId="25" xfId="1237" applyFont="1" applyBorder="1"/>
    <xf numFmtId="0" fontId="21" fillId="0" borderId="28" xfId="0" applyFont="1" applyBorder="1"/>
    <xf numFmtId="0" fontId="4" fillId="0" borderId="23" xfId="1237" applyBorder="1"/>
    <xf numFmtId="0" fontId="49" fillId="0" borderId="25" xfId="1237" applyFont="1" applyBorder="1" applyAlignment="1">
      <alignment horizontal="left"/>
    </xf>
    <xf numFmtId="0" fontId="4" fillId="0" borderId="19" xfId="1237" applyBorder="1" applyAlignment="1">
      <alignment horizontal="right"/>
    </xf>
    <xf numFmtId="0" fontId="4" fillId="0" borderId="21" xfId="1237" applyBorder="1" applyAlignment="1">
      <alignment horizontal="right"/>
    </xf>
    <xf numFmtId="0" fontId="49" fillId="0" borderId="24" xfId="1237" applyFont="1" applyBorder="1"/>
    <xf numFmtId="0" fontId="21" fillId="0" borderId="30" xfId="0" applyFont="1" applyBorder="1"/>
    <xf numFmtId="0" fontId="49" fillId="0" borderId="25" xfId="1237" applyFont="1" applyBorder="1" applyAlignment="1">
      <alignment horizontal="right"/>
    </xf>
    <xf numFmtId="0" fontId="4" fillId="0" borderId="23" xfId="1237" applyBorder="1" applyAlignment="1">
      <alignment horizontal="center" vertical="center" wrapText="1"/>
    </xf>
    <xf numFmtId="0" fontId="4" fillId="0" borderId="24" xfId="1237" applyBorder="1" applyAlignment="1">
      <alignment horizontal="center" vertical="center" wrapText="1"/>
    </xf>
    <xf numFmtId="0" fontId="4" fillId="0" borderId="23" xfId="1237" applyBorder="1" applyAlignment="1">
      <alignment horizontal="left" vertical="center"/>
    </xf>
    <xf numFmtId="0" fontId="4" fillId="0" borderId="24" xfId="1237" applyBorder="1" applyAlignment="1">
      <alignment horizontal="left" vertical="center"/>
    </xf>
    <xf numFmtId="0" fontId="4" fillId="42" borderId="23" xfId="0" applyFont="1" applyFill="1" applyBorder="1" applyAlignment="1">
      <alignment horizontal="left" vertical="center" readingOrder="2"/>
    </xf>
    <xf numFmtId="0" fontId="4" fillId="42" borderId="24" xfId="0" applyFont="1" applyFill="1" applyBorder="1" applyAlignment="1">
      <alignment horizontal="left" vertical="center" readingOrder="2"/>
    </xf>
  </cellXfs>
  <cellStyles count="1238">
    <cellStyle name="20% - Accent1 2" xfId="6" xr:uid="{00000000-0005-0000-0000-000027000000}"/>
    <cellStyle name="20% - Accent1 3" xfId="88" xr:uid="{00000000-0005-0000-0000-000079000000}"/>
    <cellStyle name="20% - Accent1 3 2" xfId="1035" xr:uid="{00000000-0005-0000-0000-00002C040000}"/>
    <cellStyle name="20% - Accent1 4" xfId="1036" xr:uid="{00000000-0005-0000-0000-00002D040000}"/>
    <cellStyle name="20% - Accent1 5" xfId="1037" xr:uid="{00000000-0005-0000-0000-00002E040000}"/>
    <cellStyle name="20% - Accent1 6" xfId="1038" xr:uid="{00000000-0005-0000-0000-00002F040000}"/>
    <cellStyle name="20% - Accent1 7" xfId="1039" xr:uid="{00000000-0005-0000-0000-000030040000}"/>
    <cellStyle name="20% - Accent2 2" xfId="7" xr:uid="{00000000-0005-0000-0000-000028000000}"/>
    <cellStyle name="20% - Accent2 3" xfId="87" xr:uid="{00000000-0005-0000-0000-000078000000}"/>
    <cellStyle name="20% - Accent2 3 2" xfId="1040" xr:uid="{00000000-0005-0000-0000-000031040000}"/>
    <cellStyle name="20% - Accent2 4" xfId="1041" xr:uid="{00000000-0005-0000-0000-000032040000}"/>
    <cellStyle name="20% - Accent2 5" xfId="1042" xr:uid="{00000000-0005-0000-0000-000033040000}"/>
    <cellStyle name="20% - Accent2 6" xfId="1043" xr:uid="{00000000-0005-0000-0000-000034040000}"/>
    <cellStyle name="20% - Accent2 7" xfId="1044" xr:uid="{00000000-0005-0000-0000-000035040000}"/>
    <cellStyle name="20% - Accent3 2" xfId="8" xr:uid="{00000000-0005-0000-0000-000029000000}"/>
    <cellStyle name="20% - Accent3 3" xfId="86" xr:uid="{00000000-0005-0000-0000-000077000000}"/>
    <cellStyle name="20% - Accent3 3 2" xfId="1045" xr:uid="{00000000-0005-0000-0000-000036040000}"/>
    <cellStyle name="20% - Accent3 4" xfId="1046" xr:uid="{00000000-0005-0000-0000-000037040000}"/>
    <cellStyle name="20% - Accent3 5" xfId="1047" xr:uid="{00000000-0005-0000-0000-000038040000}"/>
    <cellStyle name="20% - Accent3 6" xfId="1048" xr:uid="{00000000-0005-0000-0000-000039040000}"/>
    <cellStyle name="20% - Accent3 7" xfId="1049" xr:uid="{00000000-0005-0000-0000-00003A040000}"/>
    <cellStyle name="20% - Accent4 2" xfId="9" xr:uid="{00000000-0005-0000-0000-00002A000000}"/>
    <cellStyle name="20% - Accent4 3" xfId="85" xr:uid="{00000000-0005-0000-0000-000076000000}"/>
    <cellStyle name="20% - Accent4 3 2" xfId="1050" xr:uid="{00000000-0005-0000-0000-00003B040000}"/>
    <cellStyle name="20% - Accent4 4" xfId="1051" xr:uid="{00000000-0005-0000-0000-00003C040000}"/>
    <cellStyle name="20% - Accent4 5" xfId="1052" xr:uid="{00000000-0005-0000-0000-00003D040000}"/>
    <cellStyle name="20% - Accent4 6" xfId="1053" xr:uid="{00000000-0005-0000-0000-00003E040000}"/>
    <cellStyle name="20% - Accent4 7" xfId="1054" xr:uid="{00000000-0005-0000-0000-00003F040000}"/>
    <cellStyle name="20% - Accent5 2" xfId="10" xr:uid="{00000000-0005-0000-0000-00002B000000}"/>
    <cellStyle name="20% - Accent5 3" xfId="84" xr:uid="{00000000-0005-0000-0000-000075000000}"/>
    <cellStyle name="20% - Accent5 3 2" xfId="1055" xr:uid="{00000000-0005-0000-0000-000040040000}"/>
    <cellStyle name="20% - Accent5 4" xfId="1056" xr:uid="{00000000-0005-0000-0000-000041040000}"/>
    <cellStyle name="20% - Accent5 5" xfId="1057" xr:uid="{00000000-0005-0000-0000-000042040000}"/>
    <cellStyle name="20% - Accent5 6" xfId="1058" xr:uid="{00000000-0005-0000-0000-000043040000}"/>
    <cellStyle name="20% - Accent5 7" xfId="1059" xr:uid="{00000000-0005-0000-0000-000044040000}"/>
    <cellStyle name="20% - Accent6 2" xfId="11" xr:uid="{00000000-0005-0000-0000-00002C000000}"/>
    <cellStyle name="20% - Accent6 3" xfId="83" xr:uid="{00000000-0005-0000-0000-000074000000}"/>
    <cellStyle name="20% - Accent6 3 2" xfId="1060" xr:uid="{00000000-0005-0000-0000-000045040000}"/>
    <cellStyle name="20% - Accent6 4" xfId="1061" xr:uid="{00000000-0005-0000-0000-000046040000}"/>
    <cellStyle name="20% - Accent6 5" xfId="1062" xr:uid="{00000000-0005-0000-0000-000047040000}"/>
    <cellStyle name="20% - Accent6 6" xfId="1063" xr:uid="{00000000-0005-0000-0000-000048040000}"/>
    <cellStyle name="20% - Accent6 7" xfId="1064" xr:uid="{00000000-0005-0000-0000-000049040000}"/>
    <cellStyle name="40% - Accent1 2" xfId="12" xr:uid="{00000000-0005-0000-0000-00002D000000}"/>
    <cellStyle name="40% - Accent1 3" xfId="82" xr:uid="{00000000-0005-0000-0000-000073000000}"/>
    <cellStyle name="40% - Accent1 3 2" xfId="1065" xr:uid="{00000000-0005-0000-0000-00004A040000}"/>
    <cellStyle name="40% - Accent1 4" xfId="1066" xr:uid="{00000000-0005-0000-0000-00004B040000}"/>
    <cellStyle name="40% - Accent1 5" xfId="1067" xr:uid="{00000000-0005-0000-0000-00004C040000}"/>
    <cellStyle name="40% - Accent1 6" xfId="1068" xr:uid="{00000000-0005-0000-0000-00004D040000}"/>
    <cellStyle name="40% - Accent1 7" xfId="1069" xr:uid="{00000000-0005-0000-0000-00004E040000}"/>
    <cellStyle name="40% - Accent2 2" xfId="13" xr:uid="{00000000-0005-0000-0000-00002E000000}"/>
    <cellStyle name="40% - Accent2 3" xfId="81" xr:uid="{00000000-0005-0000-0000-000072000000}"/>
    <cellStyle name="40% - Accent2 3 2" xfId="1070" xr:uid="{00000000-0005-0000-0000-00004F040000}"/>
    <cellStyle name="40% - Accent2 4" xfId="1071" xr:uid="{00000000-0005-0000-0000-000050040000}"/>
    <cellStyle name="40% - Accent2 5" xfId="1072" xr:uid="{00000000-0005-0000-0000-000051040000}"/>
    <cellStyle name="40% - Accent2 6" xfId="1073" xr:uid="{00000000-0005-0000-0000-000052040000}"/>
    <cellStyle name="40% - Accent2 7" xfId="1074" xr:uid="{00000000-0005-0000-0000-000053040000}"/>
    <cellStyle name="40% - Accent3 2" xfId="14" xr:uid="{00000000-0005-0000-0000-00002F000000}"/>
    <cellStyle name="40% - Accent3 3" xfId="80" xr:uid="{00000000-0005-0000-0000-000071000000}"/>
    <cellStyle name="40% - Accent3 3 2" xfId="1075" xr:uid="{00000000-0005-0000-0000-000054040000}"/>
    <cellStyle name="40% - Accent3 4" xfId="1076" xr:uid="{00000000-0005-0000-0000-000055040000}"/>
    <cellStyle name="40% - Accent3 5" xfId="1077" xr:uid="{00000000-0005-0000-0000-000056040000}"/>
    <cellStyle name="40% - Accent3 6" xfId="1078" xr:uid="{00000000-0005-0000-0000-000057040000}"/>
    <cellStyle name="40% - Accent3 7" xfId="1079" xr:uid="{00000000-0005-0000-0000-000058040000}"/>
    <cellStyle name="40% - Accent4 2" xfId="15" xr:uid="{00000000-0005-0000-0000-000030000000}"/>
    <cellStyle name="40% - Accent4 3" xfId="79" xr:uid="{00000000-0005-0000-0000-000070000000}"/>
    <cellStyle name="40% - Accent4 3 2" xfId="1080" xr:uid="{00000000-0005-0000-0000-000059040000}"/>
    <cellStyle name="40% - Accent4 4" xfId="1081" xr:uid="{00000000-0005-0000-0000-00005A040000}"/>
    <cellStyle name="40% - Accent4 5" xfId="1082" xr:uid="{00000000-0005-0000-0000-00005B040000}"/>
    <cellStyle name="40% - Accent4 6" xfId="1083" xr:uid="{00000000-0005-0000-0000-00005C040000}"/>
    <cellStyle name="40% - Accent4 7" xfId="1084" xr:uid="{00000000-0005-0000-0000-00005D040000}"/>
    <cellStyle name="40% - Accent5 2" xfId="16" xr:uid="{00000000-0005-0000-0000-000031000000}"/>
    <cellStyle name="40% - Accent5 3" xfId="78" xr:uid="{00000000-0005-0000-0000-00006F000000}"/>
    <cellStyle name="40% - Accent5 3 2" xfId="1085" xr:uid="{00000000-0005-0000-0000-00005E040000}"/>
    <cellStyle name="40% - Accent5 4" xfId="1086" xr:uid="{00000000-0005-0000-0000-00005F040000}"/>
    <cellStyle name="40% - Accent5 5" xfId="1087" xr:uid="{00000000-0005-0000-0000-000060040000}"/>
    <cellStyle name="40% - Accent5 6" xfId="1088" xr:uid="{00000000-0005-0000-0000-000061040000}"/>
    <cellStyle name="40% - Accent5 7" xfId="1089" xr:uid="{00000000-0005-0000-0000-000062040000}"/>
    <cellStyle name="40% - Accent6 2" xfId="17" xr:uid="{00000000-0005-0000-0000-000032000000}"/>
    <cellStyle name="40% - Accent6 3" xfId="77" xr:uid="{00000000-0005-0000-0000-00006E000000}"/>
    <cellStyle name="40% - Accent6 3 2" xfId="1090" xr:uid="{00000000-0005-0000-0000-000063040000}"/>
    <cellStyle name="40% - Accent6 4" xfId="1091" xr:uid="{00000000-0005-0000-0000-000064040000}"/>
    <cellStyle name="40% - Accent6 5" xfId="1092" xr:uid="{00000000-0005-0000-0000-000065040000}"/>
    <cellStyle name="40% - Accent6 6" xfId="1093" xr:uid="{00000000-0005-0000-0000-000066040000}"/>
    <cellStyle name="40% - Accent6 7" xfId="1094" xr:uid="{00000000-0005-0000-0000-000067040000}"/>
    <cellStyle name="60% - Accent1 10" xfId="115" xr:uid="{00000000-0005-0000-0000-000094000000}"/>
    <cellStyle name="60% - Accent1 100" xfId="116" xr:uid="{00000000-0005-0000-0000-000095000000}"/>
    <cellStyle name="60% - Accent1 101" xfId="117" xr:uid="{00000000-0005-0000-0000-000096000000}"/>
    <cellStyle name="60% - Accent1 102" xfId="118" xr:uid="{00000000-0005-0000-0000-000097000000}"/>
    <cellStyle name="60% - Accent1 103" xfId="119" xr:uid="{00000000-0005-0000-0000-000098000000}"/>
    <cellStyle name="60% - Accent1 104" xfId="120" xr:uid="{00000000-0005-0000-0000-000099000000}"/>
    <cellStyle name="60% - Accent1 105" xfId="121" xr:uid="{00000000-0005-0000-0000-00009A000000}"/>
    <cellStyle name="60% - Accent1 106" xfId="122" xr:uid="{00000000-0005-0000-0000-00009B000000}"/>
    <cellStyle name="60% - Accent1 107" xfId="123" xr:uid="{00000000-0005-0000-0000-00009C000000}"/>
    <cellStyle name="60% - Accent1 108" xfId="124" xr:uid="{00000000-0005-0000-0000-00009D000000}"/>
    <cellStyle name="60% - Accent1 109" xfId="125" xr:uid="{00000000-0005-0000-0000-00009E000000}"/>
    <cellStyle name="60% - Accent1 11" xfId="126" xr:uid="{00000000-0005-0000-0000-00009F000000}"/>
    <cellStyle name="60% - Accent1 110" xfId="127" xr:uid="{00000000-0005-0000-0000-0000A0000000}"/>
    <cellStyle name="60% - Accent1 111" xfId="128" xr:uid="{00000000-0005-0000-0000-0000A1000000}"/>
    <cellStyle name="60% - Accent1 112" xfId="129" xr:uid="{00000000-0005-0000-0000-0000A2000000}"/>
    <cellStyle name="60% - Accent1 113" xfId="130" xr:uid="{00000000-0005-0000-0000-0000A3000000}"/>
    <cellStyle name="60% - Accent1 114" xfId="131" xr:uid="{00000000-0005-0000-0000-0000A4000000}"/>
    <cellStyle name="60% - Accent1 115" xfId="132" xr:uid="{00000000-0005-0000-0000-0000A5000000}"/>
    <cellStyle name="60% - Accent1 116" xfId="133" xr:uid="{00000000-0005-0000-0000-0000A6000000}"/>
    <cellStyle name="60% - Accent1 117" xfId="134" xr:uid="{00000000-0005-0000-0000-0000A7000000}"/>
    <cellStyle name="60% - Accent1 12" xfId="135" xr:uid="{00000000-0005-0000-0000-0000A8000000}"/>
    <cellStyle name="60% - Accent1 13" xfId="136" xr:uid="{00000000-0005-0000-0000-0000A9000000}"/>
    <cellStyle name="60% - Accent1 14" xfId="137" xr:uid="{00000000-0005-0000-0000-0000AA000000}"/>
    <cellStyle name="60% - Accent1 15" xfId="138" xr:uid="{00000000-0005-0000-0000-0000AB000000}"/>
    <cellStyle name="60% - Accent1 16" xfId="139" xr:uid="{00000000-0005-0000-0000-0000AC000000}"/>
    <cellStyle name="60% - Accent1 17" xfId="140" xr:uid="{00000000-0005-0000-0000-0000AD000000}"/>
    <cellStyle name="60% - Accent1 18" xfId="141" xr:uid="{00000000-0005-0000-0000-0000AE000000}"/>
    <cellStyle name="60% - Accent1 19" xfId="142" xr:uid="{00000000-0005-0000-0000-0000AF000000}"/>
    <cellStyle name="60% - Accent1 2" xfId="19" xr:uid="{00000000-0005-0000-0000-000034000000}"/>
    <cellStyle name="60% - Accent1 2 2" xfId="143" xr:uid="{00000000-0005-0000-0000-0000B0000000}"/>
    <cellStyle name="60% - Accent1 20" xfId="144" xr:uid="{00000000-0005-0000-0000-0000B1000000}"/>
    <cellStyle name="60% - Accent1 21" xfId="145" xr:uid="{00000000-0005-0000-0000-0000B2000000}"/>
    <cellStyle name="60% - Accent1 22" xfId="146" xr:uid="{00000000-0005-0000-0000-0000B3000000}"/>
    <cellStyle name="60% - Accent1 23" xfId="147" xr:uid="{00000000-0005-0000-0000-0000B4000000}"/>
    <cellStyle name="60% - Accent1 24" xfId="148" xr:uid="{00000000-0005-0000-0000-0000B5000000}"/>
    <cellStyle name="60% - Accent1 25" xfId="149" xr:uid="{00000000-0005-0000-0000-0000B6000000}"/>
    <cellStyle name="60% - Accent1 26" xfId="150" xr:uid="{00000000-0005-0000-0000-0000B7000000}"/>
    <cellStyle name="60% - Accent1 27" xfId="151" xr:uid="{00000000-0005-0000-0000-0000B8000000}"/>
    <cellStyle name="60% - Accent1 28" xfId="152" xr:uid="{00000000-0005-0000-0000-0000B9000000}"/>
    <cellStyle name="60% - Accent1 29" xfId="153" xr:uid="{00000000-0005-0000-0000-0000BA000000}"/>
    <cellStyle name="60% - Accent1 3" xfId="18" xr:uid="{00000000-0005-0000-0000-000033000000}"/>
    <cellStyle name="60% - Accent1 3 2" xfId="154" xr:uid="{00000000-0005-0000-0000-0000BB000000}"/>
    <cellStyle name="60% - Accent1 30" xfId="155" xr:uid="{00000000-0005-0000-0000-0000BC000000}"/>
    <cellStyle name="60% - Accent1 31" xfId="156" xr:uid="{00000000-0005-0000-0000-0000BD000000}"/>
    <cellStyle name="60% - Accent1 32" xfId="157" xr:uid="{00000000-0005-0000-0000-0000BE000000}"/>
    <cellStyle name="60% - Accent1 33" xfId="158" xr:uid="{00000000-0005-0000-0000-0000BF000000}"/>
    <cellStyle name="60% - Accent1 34" xfId="159" xr:uid="{00000000-0005-0000-0000-0000C0000000}"/>
    <cellStyle name="60% - Accent1 35" xfId="160" xr:uid="{00000000-0005-0000-0000-0000C1000000}"/>
    <cellStyle name="60% - Accent1 36" xfId="161" xr:uid="{00000000-0005-0000-0000-0000C2000000}"/>
    <cellStyle name="60% - Accent1 37" xfId="162" xr:uid="{00000000-0005-0000-0000-0000C3000000}"/>
    <cellStyle name="60% - Accent1 38" xfId="163" xr:uid="{00000000-0005-0000-0000-0000C4000000}"/>
    <cellStyle name="60% - Accent1 39" xfId="164" xr:uid="{00000000-0005-0000-0000-0000C5000000}"/>
    <cellStyle name="60% - Accent1 4" xfId="57" xr:uid="{00000000-0005-0000-0000-00005A000000}"/>
    <cellStyle name="60% - Accent1 4 2" xfId="1095" xr:uid="{00000000-0005-0000-0000-000068040000}"/>
    <cellStyle name="60% - Accent1 40" xfId="165" xr:uid="{00000000-0005-0000-0000-0000C6000000}"/>
    <cellStyle name="60% - Accent1 41" xfId="166" xr:uid="{00000000-0005-0000-0000-0000C7000000}"/>
    <cellStyle name="60% - Accent1 42" xfId="167" xr:uid="{00000000-0005-0000-0000-0000C8000000}"/>
    <cellStyle name="60% - Accent1 43" xfId="168" xr:uid="{00000000-0005-0000-0000-0000C9000000}"/>
    <cellStyle name="60% - Accent1 44" xfId="169" xr:uid="{00000000-0005-0000-0000-0000CA000000}"/>
    <cellStyle name="60% - Accent1 45" xfId="170" xr:uid="{00000000-0005-0000-0000-0000CB000000}"/>
    <cellStyle name="60% - Accent1 46" xfId="171" xr:uid="{00000000-0005-0000-0000-0000CC000000}"/>
    <cellStyle name="60% - Accent1 47" xfId="172" xr:uid="{00000000-0005-0000-0000-0000CD000000}"/>
    <cellStyle name="60% - Accent1 48" xfId="173" xr:uid="{00000000-0005-0000-0000-0000CE000000}"/>
    <cellStyle name="60% - Accent1 49" xfId="174" xr:uid="{00000000-0005-0000-0000-0000CF000000}"/>
    <cellStyle name="60% - Accent1 5" xfId="63" xr:uid="{00000000-0005-0000-0000-000060000000}"/>
    <cellStyle name="60% - Accent1 5 2" xfId="175" xr:uid="{00000000-0005-0000-0000-0000D0000000}"/>
    <cellStyle name="60% - Accent1 5 3" xfId="1096" xr:uid="{00000000-0005-0000-0000-000069040000}"/>
    <cellStyle name="60% - Accent1 50" xfId="176" xr:uid="{00000000-0005-0000-0000-0000D1000000}"/>
    <cellStyle name="60% - Accent1 51" xfId="177" xr:uid="{00000000-0005-0000-0000-0000D2000000}"/>
    <cellStyle name="60% - Accent1 52" xfId="178" xr:uid="{00000000-0005-0000-0000-0000D3000000}"/>
    <cellStyle name="60% - Accent1 53" xfId="179" xr:uid="{00000000-0005-0000-0000-0000D4000000}"/>
    <cellStyle name="60% - Accent1 54" xfId="180" xr:uid="{00000000-0005-0000-0000-0000D5000000}"/>
    <cellStyle name="60% - Accent1 55" xfId="181" xr:uid="{00000000-0005-0000-0000-0000D6000000}"/>
    <cellStyle name="60% - Accent1 56" xfId="182" xr:uid="{00000000-0005-0000-0000-0000D7000000}"/>
    <cellStyle name="60% - Accent1 57" xfId="183" xr:uid="{00000000-0005-0000-0000-0000D8000000}"/>
    <cellStyle name="60% - Accent1 58" xfId="184" xr:uid="{00000000-0005-0000-0000-0000D9000000}"/>
    <cellStyle name="60% - Accent1 59" xfId="185" xr:uid="{00000000-0005-0000-0000-0000DA000000}"/>
    <cellStyle name="60% - Accent1 6" xfId="76" xr:uid="{00000000-0005-0000-0000-00006D000000}"/>
    <cellStyle name="60% - Accent1 6 2" xfId="186" xr:uid="{00000000-0005-0000-0000-0000DB000000}"/>
    <cellStyle name="60% - Accent1 6 3" xfId="1097" xr:uid="{00000000-0005-0000-0000-00006A040000}"/>
    <cellStyle name="60% - Accent1 60" xfId="187" xr:uid="{00000000-0005-0000-0000-0000DC000000}"/>
    <cellStyle name="60% - Accent1 61" xfId="188" xr:uid="{00000000-0005-0000-0000-0000DD000000}"/>
    <cellStyle name="60% - Accent1 62" xfId="189" xr:uid="{00000000-0005-0000-0000-0000DE000000}"/>
    <cellStyle name="60% - Accent1 63" xfId="190" xr:uid="{00000000-0005-0000-0000-0000DF000000}"/>
    <cellStyle name="60% - Accent1 64" xfId="191" xr:uid="{00000000-0005-0000-0000-0000E0000000}"/>
    <cellStyle name="60% - Accent1 65" xfId="192" xr:uid="{00000000-0005-0000-0000-0000E1000000}"/>
    <cellStyle name="60% - Accent1 66" xfId="193" xr:uid="{00000000-0005-0000-0000-0000E2000000}"/>
    <cellStyle name="60% - Accent1 67" xfId="194" xr:uid="{00000000-0005-0000-0000-0000E3000000}"/>
    <cellStyle name="60% - Accent1 68" xfId="195" xr:uid="{00000000-0005-0000-0000-0000E4000000}"/>
    <cellStyle name="60% - Accent1 69" xfId="196" xr:uid="{00000000-0005-0000-0000-0000E5000000}"/>
    <cellStyle name="60% - Accent1 7" xfId="197" xr:uid="{00000000-0005-0000-0000-0000E6000000}"/>
    <cellStyle name="60% - Accent1 7 2" xfId="1098" xr:uid="{00000000-0005-0000-0000-00006B040000}"/>
    <cellStyle name="60% - Accent1 70" xfId="198" xr:uid="{00000000-0005-0000-0000-0000E7000000}"/>
    <cellStyle name="60% - Accent1 71" xfId="199" xr:uid="{00000000-0005-0000-0000-0000E8000000}"/>
    <cellStyle name="60% - Accent1 72" xfId="200" xr:uid="{00000000-0005-0000-0000-0000E9000000}"/>
    <cellStyle name="60% - Accent1 73" xfId="201" xr:uid="{00000000-0005-0000-0000-0000EA000000}"/>
    <cellStyle name="60% - Accent1 74" xfId="202" xr:uid="{00000000-0005-0000-0000-0000EB000000}"/>
    <cellStyle name="60% - Accent1 75" xfId="203" xr:uid="{00000000-0005-0000-0000-0000EC000000}"/>
    <cellStyle name="60% - Accent1 76" xfId="204" xr:uid="{00000000-0005-0000-0000-0000ED000000}"/>
    <cellStyle name="60% - Accent1 77" xfId="205" xr:uid="{00000000-0005-0000-0000-0000EE000000}"/>
    <cellStyle name="60% - Accent1 78" xfId="206" xr:uid="{00000000-0005-0000-0000-0000EF000000}"/>
    <cellStyle name="60% - Accent1 79" xfId="207" xr:uid="{00000000-0005-0000-0000-0000F0000000}"/>
    <cellStyle name="60% - Accent1 8" xfId="208" xr:uid="{00000000-0005-0000-0000-0000F1000000}"/>
    <cellStyle name="60% - Accent1 80" xfId="209" xr:uid="{00000000-0005-0000-0000-0000F2000000}"/>
    <cellStyle name="60% - Accent1 81" xfId="210" xr:uid="{00000000-0005-0000-0000-0000F3000000}"/>
    <cellStyle name="60% - Accent1 82" xfId="211" xr:uid="{00000000-0005-0000-0000-0000F4000000}"/>
    <cellStyle name="60% - Accent1 83" xfId="212" xr:uid="{00000000-0005-0000-0000-0000F5000000}"/>
    <cellStyle name="60% - Accent1 84" xfId="213" xr:uid="{00000000-0005-0000-0000-0000F6000000}"/>
    <cellStyle name="60% - Accent1 85" xfId="214" xr:uid="{00000000-0005-0000-0000-0000F7000000}"/>
    <cellStyle name="60% - Accent1 86" xfId="215" xr:uid="{00000000-0005-0000-0000-0000F8000000}"/>
    <cellStyle name="60% - Accent1 87" xfId="216" xr:uid="{00000000-0005-0000-0000-0000F9000000}"/>
    <cellStyle name="60% - Accent1 88" xfId="217" xr:uid="{00000000-0005-0000-0000-0000FA000000}"/>
    <cellStyle name="60% - Accent1 89" xfId="218" xr:uid="{00000000-0005-0000-0000-0000FB000000}"/>
    <cellStyle name="60% - Accent1 9" xfId="219" xr:uid="{00000000-0005-0000-0000-0000FC000000}"/>
    <cellStyle name="60% - Accent1 90" xfId="220" xr:uid="{00000000-0005-0000-0000-0000FD000000}"/>
    <cellStyle name="60% - Accent1 91" xfId="221" xr:uid="{00000000-0005-0000-0000-0000FE000000}"/>
    <cellStyle name="60% - Accent1 92" xfId="222" xr:uid="{00000000-0005-0000-0000-0000FF000000}"/>
    <cellStyle name="60% - Accent1 93" xfId="223" xr:uid="{00000000-0005-0000-0000-000000010000}"/>
    <cellStyle name="60% - Accent1 94" xfId="224" xr:uid="{00000000-0005-0000-0000-000001010000}"/>
    <cellStyle name="60% - Accent1 95" xfId="225" xr:uid="{00000000-0005-0000-0000-000002010000}"/>
    <cellStyle name="60% - Accent1 96" xfId="226" xr:uid="{00000000-0005-0000-0000-000003010000}"/>
    <cellStyle name="60% - Accent1 97" xfId="227" xr:uid="{00000000-0005-0000-0000-000004010000}"/>
    <cellStyle name="60% - Accent1 98" xfId="228" xr:uid="{00000000-0005-0000-0000-000005010000}"/>
    <cellStyle name="60% - Accent1 99" xfId="229" xr:uid="{00000000-0005-0000-0000-000006010000}"/>
    <cellStyle name="60% - Accent2 10" xfId="230" xr:uid="{00000000-0005-0000-0000-000007010000}"/>
    <cellStyle name="60% - Accent2 100" xfId="231" xr:uid="{00000000-0005-0000-0000-000008010000}"/>
    <cellStyle name="60% - Accent2 101" xfId="232" xr:uid="{00000000-0005-0000-0000-000009010000}"/>
    <cellStyle name="60% - Accent2 102" xfId="233" xr:uid="{00000000-0005-0000-0000-00000A010000}"/>
    <cellStyle name="60% - Accent2 103" xfId="234" xr:uid="{00000000-0005-0000-0000-00000B010000}"/>
    <cellStyle name="60% - Accent2 104" xfId="235" xr:uid="{00000000-0005-0000-0000-00000C010000}"/>
    <cellStyle name="60% - Accent2 105" xfId="236" xr:uid="{00000000-0005-0000-0000-00000D010000}"/>
    <cellStyle name="60% - Accent2 106" xfId="237" xr:uid="{00000000-0005-0000-0000-00000E010000}"/>
    <cellStyle name="60% - Accent2 107" xfId="238" xr:uid="{00000000-0005-0000-0000-00000F010000}"/>
    <cellStyle name="60% - Accent2 108" xfId="239" xr:uid="{00000000-0005-0000-0000-000010010000}"/>
    <cellStyle name="60% - Accent2 109" xfId="240" xr:uid="{00000000-0005-0000-0000-000011010000}"/>
    <cellStyle name="60% - Accent2 11" xfId="241" xr:uid="{00000000-0005-0000-0000-000012010000}"/>
    <cellStyle name="60% - Accent2 110" xfId="242" xr:uid="{00000000-0005-0000-0000-000013010000}"/>
    <cellStyle name="60% - Accent2 111" xfId="243" xr:uid="{00000000-0005-0000-0000-000014010000}"/>
    <cellStyle name="60% - Accent2 112" xfId="244" xr:uid="{00000000-0005-0000-0000-000015010000}"/>
    <cellStyle name="60% - Accent2 113" xfId="245" xr:uid="{00000000-0005-0000-0000-000016010000}"/>
    <cellStyle name="60% - Accent2 114" xfId="246" xr:uid="{00000000-0005-0000-0000-000017010000}"/>
    <cellStyle name="60% - Accent2 115" xfId="247" xr:uid="{00000000-0005-0000-0000-000018010000}"/>
    <cellStyle name="60% - Accent2 116" xfId="248" xr:uid="{00000000-0005-0000-0000-000019010000}"/>
    <cellStyle name="60% - Accent2 117" xfId="249" xr:uid="{00000000-0005-0000-0000-00001A010000}"/>
    <cellStyle name="60% - Accent2 12" xfId="250" xr:uid="{00000000-0005-0000-0000-00001B010000}"/>
    <cellStyle name="60% - Accent2 13" xfId="251" xr:uid="{00000000-0005-0000-0000-00001C010000}"/>
    <cellStyle name="60% - Accent2 14" xfId="252" xr:uid="{00000000-0005-0000-0000-00001D010000}"/>
    <cellStyle name="60% - Accent2 15" xfId="253" xr:uid="{00000000-0005-0000-0000-00001E010000}"/>
    <cellStyle name="60% - Accent2 16" xfId="254" xr:uid="{00000000-0005-0000-0000-00001F010000}"/>
    <cellStyle name="60% - Accent2 17" xfId="255" xr:uid="{00000000-0005-0000-0000-000020010000}"/>
    <cellStyle name="60% - Accent2 18" xfId="256" xr:uid="{00000000-0005-0000-0000-000021010000}"/>
    <cellStyle name="60% - Accent2 19" xfId="257" xr:uid="{00000000-0005-0000-0000-000022010000}"/>
    <cellStyle name="60% - Accent2 2" xfId="21" xr:uid="{00000000-0005-0000-0000-000036000000}"/>
    <cellStyle name="60% - Accent2 2 2" xfId="258" xr:uid="{00000000-0005-0000-0000-000023010000}"/>
    <cellStyle name="60% - Accent2 20" xfId="259" xr:uid="{00000000-0005-0000-0000-000024010000}"/>
    <cellStyle name="60% - Accent2 21" xfId="260" xr:uid="{00000000-0005-0000-0000-000025010000}"/>
    <cellStyle name="60% - Accent2 22" xfId="261" xr:uid="{00000000-0005-0000-0000-000026010000}"/>
    <cellStyle name="60% - Accent2 23" xfId="262" xr:uid="{00000000-0005-0000-0000-000027010000}"/>
    <cellStyle name="60% - Accent2 24" xfId="263" xr:uid="{00000000-0005-0000-0000-000028010000}"/>
    <cellStyle name="60% - Accent2 25" xfId="264" xr:uid="{00000000-0005-0000-0000-000029010000}"/>
    <cellStyle name="60% - Accent2 26" xfId="265" xr:uid="{00000000-0005-0000-0000-00002A010000}"/>
    <cellStyle name="60% - Accent2 27" xfId="266" xr:uid="{00000000-0005-0000-0000-00002B010000}"/>
    <cellStyle name="60% - Accent2 28" xfId="267" xr:uid="{00000000-0005-0000-0000-00002C010000}"/>
    <cellStyle name="60% - Accent2 29" xfId="268" xr:uid="{00000000-0005-0000-0000-00002D010000}"/>
    <cellStyle name="60% - Accent2 3" xfId="20" xr:uid="{00000000-0005-0000-0000-000035000000}"/>
    <cellStyle name="60% - Accent2 3 2" xfId="269" xr:uid="{00000000-0005-0000-0000-00002E010000}"/>
    <cellStyle name="60% - Accent2 30" xfId="270" xr:uid="{00000000-0005-0000-0000-00002F010000}"/>
    <cellStyle name="60% - Accent2 31" xfId="271" xr:uid="{00000000-0005-0000-0000-000030010000}"/>
    <cellStyle name="60% - Accent2 32" xfId="272" xr:uid="{00000000-0005-0000-0000-000031010000}"/>
    <cellStyle name="60% - Accent2 33" xfId="273" xr:uid="{00000000-0005-0000-0000-000032010000}"/>
    <cellStyle name="60% - Accent2 34" xfId="274" xr:uid="{00000000-0005-0000-0000-000033010000}"/>
    <cellStyle name="60% - Accent2 35" xfId="275" xr:uid="{00000000-0005-0000-0000-000034010000}"/>
    <cellStyle name="60% - Accent2 36" xfId="276" xr:uid="{00000000-0005-0000-0000-000035010000}"/>
    <cellStyle name="60% - Accent2 37" xfId="277" xr:uid="{00000000-0005-0000-0000-000036010000}"/>
    <cellStyle name="60% - Accent2 38" xfId="278" xr:uid="{00000000-0005-0000-0000-000037010000}"/>
    <cellStyle name="60% - Accent2 39" xfId="279" xr:uid="{00000000-0005-0000-0000-000038010000}"/>
    <cellStyle name="60% - Accent2 4" xfId="58" xr:uid="{00000000-0005-0000-0000-00005B000000}"/>
    <cellStyle name="60% - Accent2 4 2" xfId="1099" xr:uid="{00000000-0005-0000-0000-00006C040000}"/>
    <cellStyle name="60% - Accent2 40" xfId="280" xr:uid="{00000000-0005-0000-0000-000039010000}"/>
    <cellStyle name="60% - Accent2 41" xfId="281" xr:uid="{00000000-0005-0000-0000-00003A010000}"/>
    <cellStyle name="60% - Accent2 42" xfId="282" xr:uid="{00000000-0005-0000-0000-00003B010000}"/>
    <cellStyle name="60% - Accent2 43" xfId="283" xr:uid="{00000000-0005-0000-0000-00003C010000}"/>
    <cellStyle name="60% - Accent2 44" xfId="284" xr:uid="{00000000-0005-0000-0000-00003D010000}"/>
    <cellStyle name="60% - Accent2 45" xfId="285" xr:uid="{00000000-0005-0000-0000-00003E010000}"/>
    <cellStyle name="60% - Accent2 46" xfId="286" xr:uid="{00000000-0005-0000-0000-00003F010000}"/>
    <cellStyle name="60% - Accent2 47" xfId="287" xr:uid="{00000000-0005-0000-0000-000040010000}"/>
    <cellStyle name="60% - Accent2 48" xfId="288" xr:uid="{00000000-0005-0000-0000-000041010000}"/>
    <cellStyle name="60% - Accent2 49" xfId="289" xr:uid="{00000000-0005-0000-0000-000042010000}"/>
    <cellStyle name="60% - Accent2 5" xfId="64" xr:uid="{00000000-0005-0000-0000-000061000000}"/>
    <cellStyle name="60% - Accent2 5 2" xfId="290" xr:uid="{00000000-0005-0000-0000-000043010000}"/>
    <cellStyle name="60% - Accent2 5 3" xfId="1100" xr:uid="{00000000-0005-0000-0000-00006D040000}"/>
    <cellStyle name="60% - Accent2 50" xfId="291" xr:uid="{00000000-0005-0000-0000-000044010000}"/>
    <cellStyle name="60% - Accent2 51" xfId="292" xr:uid="{00000000-0005-0000-0000-000045010000}"/>
    <cellStyle name="60% - Accent2 52" xfId="293" xr:uid="{00000000-0005-0000-0000-000046010000}"/>
    <cellStyle name="60% - Accent2 53" xfId="294" xr:uid="{00000000-0005-0000-0000-000047010000}"/>
    <cellStyle name="60% - Accent2 54" xfId="295" xr:uid="{00000000-0005-0000-0000-000048010000}"/>
    <cellStyle name="60% - Accent2 55" xfId="296" xr:uid="{00000000-0005-0000-0000-000049010000}"/>
    <cellStyle name="60% - Accent2 56" xfId="297" xr:uid="{00000000-0005-0000-0000-00004A010000}"/>
    <cellStyle name="60% - Accent2 57" xfId="298" xr:uid="{00000000-0005-0000-0000-00004B010000}"/>
    <cellStyle name="60% - Accent2 58" xfId="299" xr:uid="{00000000-0005-0000-0000-00004C010000}"/>
    <cellStyle name="60% - Accent2 59" xfId="300" xr:uid="{00000000-0005-0000-0000-00004D010000}"/>
    <cellStyle name="60% - Accent2 6" xfId="75" xr:uid="{00000000-0005-0000-0000-00006C000000}"/>
    <cellStyle name="60% - Accent2 6 2" xfId="301" xr:uid="{00000000-0005-0000-0000-00004E010000}"/>
    <cellStyle name="60% - Accent2 6 3" xfId="1101" xr:uid="{00000000-0005-0000-0000-00006E040000}"/>
    <cellStyle name="60% - Accent2 60" xfId="302" xr:uid="{00000000-0005-0000-0000-00004F010000}"/>
    <cellStyle name="60% - Accent2 61" xfId="303" xr:uid="{00000000-0005-0000-0000-000050010000}"/>
    <cellStyle name="60% - Accent2 62" xfId="304" xr:uid="{00000000-0005-0000-0000-000051010000}"/>
    <cellStyle name="60% - Accent2 63" xfId="305" xr:uid="{00000000-0005-0000-0000-000052010000}"/>
    <cellStyle name="60% - Accent2 64" xfId="306" xr:uid="{00000000-0005-0000-0000-000053010000}"/>
    <cellStyle name="60% - Accent2 65" xfId="307" xr:uid="{00000000-0005-0000-0000-000054010000}"/>
    <cellStyle name="60% - Accent2 66" xfId="308" xr:uid="{00000000-0005-0000-0000-000055010000}"/>
    <cellStyle name="60% - Accent2 67" xfId="309" xr:uid="{00000000-0005-0000-0000-000056010000}"/>
    <cellStyle name="60% - Accent2 68" xfId="310" xr:uid="{00000000-0005-0000-0000-000057010000}"/>
    <cellStyle name="60% - Accent2 69" xfId="311" xr:uid="{00000000-0005-0000-0000-000058010000}"/>
    <cellStyle name="60% - Accent2 7" xfId="312" xr:uid="{00000000-0005-0000-0000-000059010000}"/>
    <cellStyle name="60% - Accent2 7 2" xfId="1102" xr:uid="{00000000-0005-0000-0000-00006F040000}"/>
    <cellStyle name="60% - Accent2 70" xfId="313" xr:uid="{00000000-0005-0000-0000-00005A010000}"/>
    <cellStyle name="60% - Accent2 71" xfId="314" xr:uid="{00000000-0005-0000-0000-00005B010000}"/>
    <cellStyle name="60% - Accent2 72" xfId="315" xr:uid="{00000000-0005-0000-0000-00005C010000}"/>
    <cellStyle name="60% - Accent2 73" xfId="316" xr:uid="{00000000-0005-0000-0000-00005D010000}"/>
    <cellStyle name="60% - Accent2 74" xfId="317" xr:uid="{00000000-0005-0000-0000-00005E010000}"/>
    <cellStyle name="60% - Accent2 75" xfId="318" xr:uid="{00000000-0005-0000-0000-00005F010000}"/>
    <cellStyle name="60% - Accent2 76" xfId="319" xr:uid="{00000000-0005-0000-0000-000060010000}"/>
    <cellStyle name="60% - Accent2 77" xfId="320" xr:uid="{00000000-0005-0000-0000-000061010000}"/>
    <cellStyle name="60% - Accent2 78" xfId="321" xr:uid="{00000000-0005-0000-0000-000062010000}"/>
    <cellStyle name="60% - Accent2 79" xfId="322" xr:uid="{00000000-0005-0000-0000-000063010000}"/>
    <cellStyle name="60% - Accent2 8" xfId="323" xr:uid="{00000000-0005-0000-0000-000064010000}"/>
    <cellStyle name="60% - Accent2 80" xfId="324" xr:uid="{00000000-0005-0000-0000-000065010000}"/>
    <cellStyle name="60% - Accent2 81" xfId="325" xr:uid="{00000000-0005-0000-0000-000066010000}"/>
    <cellStyle name="60% - Accent2 82" xfId="326" xr:uid="{00000000-0005-0000-0000-000067010000}"/>
    <cellStyle name="60% - Accent2 83" xfId="327" xr:uid="{00000000-0005-0000-0000-000068010000}"/>
    <cellStyle name="60% - Accent2 84" xfId="328" xr:uid="{00000000-0005-0000-0000-000069010000}"/>
    <cellStyle name="60% - Accent2 85" xfId="329" xr:uid="{00000000-0005-0000-0000-00006A010000}"/>
    <cellStyle name="60% - Accent2 86" xfId="330" xr:uid="{00000000-0005-0000-0000-00006B010000}"/>
    <cellStyle name="60% - Accent2 87" xfId="331" xr:uid="{00000000-0005-0000-0000-00006C010000}"/>
    <cellStyle name="60% - Accent2 88" xfId="332" xr:uid="{00000000-0005-0000-0000-00006D010000}"/>
    <cellStyle name="60% - Accent2 89" xfId="333" xr:uid="{00000000-0005-0000-0000-00006E010000}"/>
    <cellStyle name="60% - Accent2 9" xfId="334" xr:uid="{00000000-0005-0000-0000-00006F010000}"/>
    <cellStyle name="60% - Accent2 90" xfId="335" xr:uid="{00000000-0005-0000-0000-000070010000}"/>
    <cellStyle name="60% - Accent2 91" xfId="336" xr:uid="{00000000-0005-0000-0000-000071010000}"/>
    <cellStyle name="60% - Accent2 92" xfId="337" xr:uid="{00000000-0005-0000-0000-000072010000}"/>
    <cellStyle name="60% - Accent2 93" xfId="338" xr:uid="{00000000-0005-0000-0000-000073010000}"/>
    <cellStyle name="60% - Accent2 94" xfId="339" xr:uid="{00000000-0005-0000-0000-000074010000}"/>
    <cellStyle name="60% - Accent2 95" xfId="340" xr:uid="{00000000-0005-0000-0000-000075010000}"/>
    <cellStyle name="60% - Accent2 96" xfId="341" xr:uid="{00000000-0005-0000-0000-000076010000}"/>
    <cellStyle name="60% - Accent2 97" xfId="342" xr:uid="{00000000-0005-0000-0000-000077010000}"/>
    <cellStyle name="60% - Accent2 98" xfId="343" xr:uid="{00000000-0005-0000-0000-000078010000}"/>
    <cellStyle name="60% - Accent2 99" xfId="344" xr:uid="{00000000-0005-0000-0000-000079010000}"/>
    <cellStyle name="60% - Accent3 10" xfId="345" xr:uid="{00000000-0005-0000-0000-00007A010000}"/>
    <cellStyle name="60% - Accent3 100" xfId="346" xr:uid="{00000000-0005-0000-0000-00007B010000}"/>
    <cellStyle name="60% - Accent3 101" xfId="347" xr:uid="{00000000-0005-0000-0000-00007C010000}"/>
    <cellStyle name="60% - Accent3 102" xfId="348" xr:uid="{00000000-0005-0000-0000-00007D010000}"/>
    <cellStyle name="60% - Accent3 103" xfId="349" xr:uid="{00000000-0005-0000-0000-00007E010000}"/>
    <cellStyle name="60% - Accent3 104" xfId="350" xr:uid="{00000000-0005-0000-0000-00007F010000}"/>
    <cellStyle name="60% - Accent3 105" xfId="351" xr:uid="{00000000-0005-0000-0000-000080010000}"/>
    <cellStyle name="60% - Accent3 106" xfId="352" xr:uid="{00000000-0005-0000-0000-000081010000}"/>
    <cellStyle name="60% - Accent3 107" xfId="353" xr:uid="{00000000-0005-0000-0000-000082010000}"/>
    <cellStyle name="60% - Accent3 108" xfId="354" xr:uid="{00000000-0005-0000-0000-000083010000}"/>
    <cellStyle name="60% - Accent3 109" xfId="355" xr:uid="{00000000-0005-0000-0000-000084010000}"/>
    <cellStyle name="60% - Accent3 11" xfId="356" xr:uid="{00000000-0005-0000-0000-000085010000}"/>
    <cellStyle name="60% - Accent3 110" xfId="357" xr:uid="{00000000-0005-0000-0000-000086010000}"/>
    <cellStyle name="60% - Accent3 111" xfId="358" xr:uid="{00000000-0005-0000-0000-000087010000}"/>
    <cellStyle name="60% - Accent3 112" xfId="359" xr:uid="{00000000-0005-0000-0000-000088010000}"/>
    <cellStyle name="60% - Accent3 113" xfId="360" xr:uid="{00000000-0005-0000-0000-000089010000}"/>
    <cellStyle name="60% - Accent3 114" xfId="361" xr:uid="{00000000-0005-0000-0000-00008A010000}"/>
    <cellStyle name="60% - Accent3 115" xfId="362" xr:uid="{00000000-0005-0000-0000-00008B010000}"/>
    <cellStyle name="60% - Accent3 116" xfId="363" xr:uid="{00000000-0005-0000-0000-00008C010000}"/>
    <cellStyle name="60% - Accent3 117" xfId="364" xr:uid="{00000000-0005-0000-0000-00008D010000}"/>
    <cellStyle name="60% - Accent3 12" xfId="365" xr:uid="{00000000-0005-0000-0000-00008E010000}"/>
    <cellStyle name="60% - Accent3 13" xfId="366" xr:uid="{00000000-0005-0000-0000-00008F010000}"/>
    <cellStyle name="60% - Accent3 14" xfId="367" xr:uid="{00000000-0005-0000-0000-000090010000}"/>
    <cellStyle name="60% - Accent3 15" xfId="368" xr:uid="{00000000-0005-0000-0000-000091010000}"/>
    <cellStyle name="60% - Accent3 16" xfId="369" xr:uid="{00000000-0005-0000-0000-000092010000}"/>
    <cellStyle name="60% - Accent3 17" xfId="370" xr:uid="{00000000-0005-0000-0000-000093010000}"/>
    <cellStyle name="60% - Accent3 18" xfId="371" xr:uid="{00000000-0005-0000-0000-000094010000}"/>
    <cellStyle name="60% - Accent3 19" xfId="372" xr:uid="{00000000-0005-0000-0000-000095010000}"/>
    <cellStyle name="60% - Accent3 2" xfId="23" xr:uid="{00000000-0005-0000-0000-000038000000}"/>
    <cellStyle name="60% - Accent3 2 2" xfId="373" xr:uid="{00000000-0005-0000-0000-000096010000}"/>
    <cellStyle name="60% - Accent3 20" xfId="374" xr:uid="{00000000-0005-0000-0000-000097010000}"/>
    <cellStyle name="60% - Accent3 21" xfId="375" xr:uid="{00000000-0005-0000-0000-000098010000}"/>
    <cellStyle name="60% - Accent3 22" xfId="376" xr:uid="{00000000-0005-0000-0000-000099010000}"/>
    <cellStyle name="60% - Accent3 23" xfId="377" xr:uid="{00000000-0005-0000-0000-00009A010000}"/>
    <cellStyle name="60% - Accent3 24" xfId="378" xr:uid="{00000000-0005-0000-0000-00009B010000}"/>
    <cellStyle name="60% - Accent3 25" xfId="379" xr:uid="{00000000-0005-0000-0000-00009C010000}"/>
    <cellStyle name="60% - Accent3 26" xfId="380" xr:uid="{00000000-0005-0000-0000-00009D010000}"/>
    <cellStyle name="60% - Accent3 27" xfId="381" xr:uid="{00000000-0005-0000-0000-00009E010000}"/>
    <cellStyle name="60% - Accent3 28" xfId="382" xr:uid="{00000000-0005-0000-0000-00009F010000}"/>
    <cellStyle name="60% - Accent3 29" xfId="383" xr:uid="{00000000-0005-0000-0000-0000A0010000}"/>
    <cellStyle name="60% - Accent3 3" xfId="22" xr:uid="{00000000-0005-0000-0000-000037000000}"/>
    <cellStyle name="60% - Accent3 3 2" xfId="384" xr:uid="{00000000-0005-0000-0000-0000A1010000}"/>
    <cellStyle name="60% - Accent3 30" xfId="385" xr:uid="{00000000-0005-0000-0000-0000A2010000}"/>
    <cellStyle name="60% - Accent3 31" xfId="386" xr:uid="{00000000-0005-0000-0000-0000A3010000}"/>
    <cellStyle name="60% - Accent3 32" xfId="387" xr:uid="{00000000-0005-0000-0000-0000A4010000}"/>
    <cellStyle name="60% - Accent3 33" xfId="388" xr:uid="{00000000-0005-0000-0000-0000A5010000}"/>
    <cellStyle name="60% - Accent3 34" xfId="389" xr:uid="{00000000-0005-0000-0000-0000A6010000}"/>
    <cellStyle name="60% - Accent3 35" xfId="390" xr:uid="{00000000-0005-0000-0000-0000A7010000}"/>
    <cellStyle name="60% - Accent3 36" xfId="391" xr:uid="{00000000-0005-0000-0000-0000A8010000}"/>
    <cellStyle name="60% - Accent3 37" xfId="392" xr:uid="{00000000-0005-0000-0000-0000A9010000}"/>
    <cellStyle name="60% - Accent3 38" xfId="393" xr:uid="{00000000-0005-0000-0000-0000AA010000}"/>
    <cellStyle name="60% - Accent3 39" xfId="394" xr:uid="{00000000-0005-0000-0000-0000AB010000}"/>
    <cellStyle name="60% - Accent3 4" xfId="59" xr:uid="{00000000-0005-0000-0000-00005C000000}"/>
    <cellStyle name="60% - Accent3 4 2" xfId="1103" xr:uid="{00000000-0005-0000-0000-000070040000}"/>
    <cellStyle name="60% - Accent3 40" xfId="395" xr:uid="{00000000-0005-0000-0000-0000AC010000}"/>
    <cellStyle name="60% - Accent3 41" xfId="396" xr:uid="{00000000-0005-0000-0000-0000AD010000}"/>
    <cellStyle name="60% - Accent3 42" xfId="397" xr:uid="{00000000-0005-0000-0000-0000AE010000}"/>
    <cellStyle name="60% - Accent3 43" xfId="398" xr:uid="{00000000-0005-0000-0000-0000AF010000}"/>
    <cellStyle name="60% - Accent3 44" xfId="399" xr:uid="{00000000-0005-0000-0000-0000B0010000}"/>
    <cellStyle name="60% - Accent3 45" xfId="400" xr:uid="{00000000-0005-0000-0000-0000B1010000}"/>
    <cellStyle name="60% - Accent3 46" xfId="401" xr:uid="{00000000-0005-0000-0000-0000B2010000}"/>
    <cellStyle name="60% - Accent3 47" xfId="402" xr:uid="{00000000-0005-0000-0000-0000B3010000}"/>
    <cellStyle name="60% - Accent3 48" xfId="403" xr:uid="{00000000-0005-0000-0000-0000B4010000}"/>
    <cellStyle name="60% - Accent3 49" xfId="404" xr:uid="{00000000-0005-0000-0000-0000B5010000}"/>
    <cellStyle name="60% - Accent3 5" xfId="65" xr:uid="{00000000-0005-0000-0000-000062000000}"/>
    <cellStyle name="60% - Accent3 5 2" xfId="405" xr:uid="{00000000-0005-0000-0000-0000B6010000}"/>
    <cellStyle name="60% - Accent3 5 3" xfId="1104" xr:uid="{00000000-0005-0000-0000-000071040000}"/>
    <cellStyle name="60% - Accent3 50" xfId="406" xr:uid="{00000000-0005-0000-0000-0000B7010000}"/>
    <cellStyle name="60% - Accent3 51" xfId="407" xr:uid="{00000000-0005-0000-0000-0000B8010000}"/>
    <cellStyle name="60% - Accent3 52" xfId="408" xr:uid="{00000000-0005-0000-0000-0000B9010000}"/>
    <cellStyle name="60% - Accent3 53" xfId="409" xr:uid="{00000000-0005-0000-0000-0000BA010000}"/>
    <cellStyle name="60% - Accent3 54" xfId="410" xr:uid="{00000000-0005-0000-0000-0000BB010000}"/>
    <cellStyle name="60% - Accent3 55" xfId="411" xr:uid="{00000000-0005-0000-0000-0000BC010000}"/>
    <cellStyle name="60% - Accent3 56" xfId="412" xr:uid="{00000000-0005-0000-0000-0000BD010000}"/>
    <cellStyle name="60% - Accent3 57" xfId="413" xr:uid="{00000000-0005-0000-0000-0000BE010000}"/>
    <cellStyle name="60% - Accent3 58" xfId="414" xr:uid="{00000000-0005-0000-0000-0000BF010000}"/>
    <cellStyle name="60% - Accent3 59" xfId="415" xr:uid="{00000000-0005-0000-0000-0000C0010000}"/>
    <cellStyle name="60% - Accent3 6" xfId="74" xr:uid="{00000000-0005-0000-0000-00006B000000}"/>
    <cellStyle name="60% - Accent3 6 2" xfId="416" xr:uid="{00000000-0005-0000-0000-0000C1010000}"/>
    <cellStyle name="60% - Accent3 6 3" xfId="1105" xr:uid="{00000000-0005-0000-0000-000072040000}"/>
    <cellStyle name="60% - Accent3 60" xfId="417" xr:uid="{00000000-0005-0000-0000-0000C2010000}"/>
    <cellStyle name="60% - Accent3 61" xfId="418" xr:uid="{00000000-0005-0000-0000-0000C3010000}"/>
    <cellStyle name="60% - Accent3 62" xfId="419" xr:uid="{00000000-0005-0000-0000-0000C4010000}"/>
    <cellStyle name="60% - Accent3 63" xfId="420" xr:uid="{00000000-0005-0000-0000-0000C5010000}"/>
    <cellStyle name="60% - Accent3 64" xfId="421" xr:uid="{00000000-0005-0000-0000-0000C6010000}"/>
    <cellStyle name="60% - Accent3 65" xfId="422" xr:uid="{00000000-0005-0000-0000-0000C7010000}"/>
    <cellStyle name="60% - Accent3 66" xfId="423" xr:uid="{00000000-0005-0000-0000-0000C8010000}"/>
    <cellStyle name="60% - Accent3 67" xfId="424" xr:uid="{00000000-0005-0000-0000-0000C9010000}"/>
    <cellStyle name="60% - Accent3 68" xfId="425" xr:uid="{00000000-0005-0000-0000-0000CA010000}"/>
    <cellStyle name="60% - Accent3 69" xfId="426" xr:uid="{00000000-0005-0000-0000-0000CB010000}"/>
    <cellStyle name="60% - Accent3 7" xfId="427" xr:uid="{00000000-0005-0000-0000-0000CC010000}"/>
    <cellStyle name="60% - Accent3 7 2" xfId="1106" xr:uid="{00000000-0005-0000-0000-000073040000}"/>
    <cellStyle name="60% - Accent3 70" xfId="428" xr:uid="{00000000-0005-0000-0000-0000CD010000}"/>
    <cellStyle name="60% - Accent3 71" xfId="429" xr:uid="{00000000-0005-0000-0000-0000CE010000}"/>
    <cellStyle name="60% - Accent3 72" xfId="430" xr:uid="{00000000-0005-0000-0000-0000CF010000}"/>
    <cellStyle name="60% - Accent3 73" xfId="431" xr:uid="{00000000-0005-0000-0000-0000D0010000}"/>
    <cellStyle name="60% - Accent3 74" xfId="432" xr:uid="{00000000-0005-0000-0000-0000D1010000}"/>
    <cellStyle name="60% - Accent3 75" xfId="433" xr:uid="{00000000-0005-0000-0000-0000D2010000}"/>
    <cellStyle name="60% - Accent3 76" xfId="434" xr:uid="{00000000-0005-0000-0000-0000D3010000}"/>
    <cellStyle name="60% - Accent3 77" xfId="435" xr:uid="{00000000-0005-0000-0000-0000D4010000}"/>
    <cellStyle name="60% - Accent3 78" xfId="436" xr:uid="{00000000-0005-0000-0000-0000D5010000}"/>
    <cellStyle name="60% - Accent3 79" xfId="437" xr:uid="{00000000-0005-0000-0000-0000D6010000}"/>
    <cellStyle name="60% - Accent3 8" xfId="438" xr:uid="{00000000-0005-0000-0000-0000D7010000}"/>
    <cellStyle name="60% - Accent3 80" xfId="439" xr:uid="{00000000-0005-0000-0000-0000D8010000}"/>
    <cellStyle name="60% - Accent3 81" xfId="440" xr:uid="{00000000-0005-0000-0000-0000D9010000}"/>
    <cellStyle name="60% - Accent3 82" xfId="441" xr:uid="{00000000-0005-0000-0000-0000DA010000}"/>
    <cellStyle name="60% - Accent3 83" xfId="442" xr:uid="{00000000-0005-0000-0000-0000DB010000}"/>
    <cellStyle name="60% - Accent3 84" xfId="443" xr:uid="{00000000-0005-0000-0000-0000DC010000}"/>
    <cellStyle name="60% - Accent3 85" xfId="444" xr:uid="{00000000-0005-0000-0000-0000DD010000}"/>
    <cellStyle name="60% - Accent3 86" xfId="445" xr:uid="{00000000-0005-0000-0000-0000DE010000}"/>
    <cellStyle name="60% - Accent3 87" xfId="446" xr:uid="{00000000-0005-0000-0000-0000DF010000}"/>
    <cellStyle name="60% - Accent3 88" xfId="447" xr:uid="{00000000-0005-0000-0000-0000E0010000}"/>
    <cellStyle name="60% - Accent3 89" xfId="448" xr:uid="{00000000-0005-0000-0000-0000E1010000}"/>
    <cellStyle name="60% - Accent3 9" xfId="449" xr:uid="{00000000-0005-0000-0000-0000E2010000}"/>
    <cellStyle name="60% - Accent3 90" xfId="450" xr:uid="{00000000-0005-0000-0000-0000E3010000}"/>
    <cellStyle name="60% - Accent3 91" xfId="451" xr:uid="{00000000-0005-0000-0000-0000E4010000}"/>
    <cellStyle name="60% - Accent3 92" xfId="452" xr:uid="{00000000-0005-0000-0000-0000E5010000}"/>
    <cellStyle name="60% - Accent3 93" xfId="453" xr:uid="{00000000-0005-0000-0000-0000E6010000}"/>
    <cellStyle name="60% - Accent3 94" xfId="454" xr:uid="{00000000-0005-0000-0000-0000E7010000}"/>
    <cellStyle name="60% - Accent3 95" xfId="455" xr:uid="{00000000-0005-0000-0000-0000E8010000}"/>
    <cellStyle name="60% - Accent3 96" xfId="456" xr:uid="{00000000-0005-0000-0000-0000E9010000}"/>
    <cellStyle name="60% - Accent3 97" xfId="457" xr:uid="{00000000-0005-0000-0000-0000EA010000}"/>
    <cellStyle name="60% - Accent3 98" xfId="458" xr:uid="{00000000-0005-0000-0000-0000EB010000}"/>
    <cellStyle name="60% - Accent3 99" xfId="459" xr:uid="{00000000-0005-0000-0000-0000EC010000}"/>
    <cellStyle name="60% - Accent4 10" xfId="460" xr:uid="{00000000-0005-0000-0000-0000ED010000}"/>
    <cellStyle name="60% - Accent4 100" xfId="461" xr:uid="{00000000-0005-0000-0000-0000EE010000}"/>
    <cellStyle name="60% - Accent4 101" xfId="462" xr:uid="{00000000-0005-0000-0000-0000EF010000}"/>
    <cellStyle name="60% - Accent4 102" xfId="463" xr:uid="{00000000-0005-0000-0000-0000F0010000}"/>
    <cellStyle name="60% - Accent4 103" xfId="464" xr:uid="{00000000-0005-0000-0000-0000F1010000}"/>
    <cellStyle name="60% - Accent4 104" xfId="465" xr:uid="{00000000-0005-0000-0000-0000F2010000}"/>
    <cellStyle name="60% - Accent4 105" xfId="466" xr:uid="{00000000-0005-0000-0000-0000F3010000}"/>
    <cellStyle name="60% - Accent4 106" xfId="467" xr:uid="{00000000-0005-0000-0000-0000F4010000}"/>
    <cellStyle name="60% - Accent4 107" xfId="468" xr:uid="{00000000-0005-0000-0000-0000F5010000}"/>
    <cellStyle name="60% - Accent4 108" xfId="469" xr:uid="{00000000-0005-0000-0000-0000F6010000}"/>
    <cellStyle name="60% - Accent4 109" xfId="470" xr:uid="{00000000-0005-0000-0000-0000F7010000}"/>
    <cellStyle name="60% - Accent4 11" xfId="471" xr:uid="{00000000-0005-0000-0000-0000F8010000}"/>
    <cellStyle name="60% - Accent4 110" xfId="472" xr:uid="{00000000-0005-0000-0000-0000F9010000}"/>
    <cellStyle name="60% - Accent4 111" xfId="473" xr:uid="{00000000-0005-0000-0000-0000FA010000}"/>
    <cellStyle name="60% - Accent4 112" xfId="474" xr:uid="{00000000-0005-0000-0000-0000FB010000}"/>
    <cellStyle name="60% - Accent4 113" xfId="475" xr:uid="{00000000-0005-0000-0000-0000FC010000}"/>
    <cellStyle name="60% - Accent4 114" xfId="476" xr:uid="{00000000-0005-0000-0000-0000FD010000}"/>
    <cellStyle name="60% - Accent4 115" xfId="477" xr:uid="{00000000-0005-0000-0000-0000FE010000}"/>
    <cellStyle name="60% - Accent4 116" xfId="478" xr:uid="{00000000-0005-0000-0000-0000FF010000}"/>
    <cellStyle name="60% - Accent4 117" xfId="479" xr:uid="{00000000-0005-0000-0000-000000020000}"/>
    <cellStyle name="60% - Accent4 12" xfId="480" xr:uid="{00000000-0005-0000-0000-000001020000}"/>
    <cellStyle name="60% - Accent4 13" xfId="481" xr:uid="{00000000-0005-0000-0000-000002020000}"/>
    <cellStyle name="60% - Accent4 14" xfId="482" xr:uid="{00000000-0005-0000-0000-000003020000}"/>
    <cellStyle name="60% - Accent4 15" xfId="483" xr:uid="{00000000-0005-0000-0000-000004020000}"/>
    <cellStyle name="60% - Accent4 16" xfId="484" xr:uid="{00000000-0005-0000-0000-000005020000}"/>
    <cellStyle name="60% - Accent4 17" xfId="485" xr:uid="{00000000-0005-0000-0000-000006020000}"/>
    <cellStyle name="60% - Accent4 18" xfId="486" xr:uid="{00000000-0005-0000-0000-000007020000}"/>
    <cellStyle name="60% - Accent4 19" xfId="487" xr:uid="{00000000-0005-0000-0000-000008020000}"/>
    <cellStyle name="60% - Accent4 2" xfId="25" xr:uid="{00000000-0005-0000-0000-00003A000000}"/>
    <cellStyle name="60% - Accent4 2 2" xfId="488" xr:uid="{00000000-0005-0000-0000-000009020000}"/>
    <cellStyle name="60% - Accent4 20" xfId="489" xr:uid="{00000000-0005-0000-0000-00000A020000}"/>
    <cellStyle name="60% - Accent4 21" xfId="490" xr:uid="{00000000-0005-0000-0000-00000B020000}"/>
    <cellStyle name="60% - Accent4 22" xfId="491" xr:uid="{00000000-0005-0000-0000-00000C020000}"/>
    <cellStyle name="60% - Accent4 23" xfId="492" xr:uid="{00000000-0005-0000-0000-00000D020000}"/>
    <cellStyle name="60% - Accent4 24" xfId="493" xr:uid="{00000000-0005-0000-0000-00000E020000}"/>
    <cellStyle name="60% - Accent4 25" xfId="494" xr:uid="{00000000-0005-0000-0000-00000F020000}"/>
    <cellStyle name="60% - Accent4 26" xfId="495" xr:uid="{00000000-0005-0000-0000-000010020000}"/>
    <cellStyle name="60% - Accent4 27" xfId="496" xr:uid="{00000000-0005-0000-0000-000011020000}"/>
    <cellStyle name="60% - Accent4 28" xfId="497" xr:uid="{00000000-0005-0000-0000-000012020000}"/>
    <cellStyle name="60% - Accent4 29" xfId="498" xr:uid="{00000000-0005-0000-0000-000013020000}"/>
    <cellStyle name="60% - Accent4 3" xfId="24" xr:uid="{00000000-0005-0000-0000-000039000000}"/>
    <cellStyle name="60% - Accent4 3 2" xfId="499" xr:uid="{00000000-0005-0000-0000-000014020000}"/>
    <cellStyle name="60% - Accent4 30" xfId="500" xr:uid="{00000000-0005-0000-0000-000015020000}"/>
    <cellStyle name="60% - Accent4 31" xfId="501" xr:uid="{00000000-0005-0000-0000-000016020000}"/>
    <cellStyle name="60% - Accent4 32" xfId="502" xr:uid="{00000000-0005-0000-0000-000017020000}"/>
    <cellStyle name="60% - Accent4 33" xfId="503" xr:uid="{00000000-0005-0000-0000-000018020000}"/>
    <cellStyle name="60% - Accent4 34" xfId="504" xr:uid="{00000000-0005-0000-0000-000019020000}"/>
    <cellStyle name="60% - Accent4 35" xfId="505" xr:uid="{00000000-0005-0000-0000-00001A020000}"/>
    <cellStyle name="60% - Accent4 36" xfId="506" xr:uid="{00000000-0005-0000-0000-00001B020000}"/>
    <cellStyle name="60% - Accent4 37" xfId="507" xr:uid="{00000000-0005-0000-0000-00001C020000}"/>
    <cellStyle name="60% - Accent4 38" xfId="508" xr:uid="{00000000-0005-0000-0000-00001D020000}"/>
    <cellStyle name="60% - Accent4 39" xfId="509" xr:uid="{00000000-0005-0000-0000-00001E020000}"/>
    <cellStyle name="60% - Accent4 4" xfId="60" xr:uid="{00000000-0005-0000-0000-00005D000000}"/>
    <cellStyle name="60% - Accent4 4 2" xfId="1107" xr:uid="{00000000-0005-0000-0000-000074040000}"/>
    <cellStyle name="60% - Accent4 40" xfId="510" xr:uid="{00000000-0005-0000-0000-00001F020000}"/>
    <cellStyle name="60% - Accent4 41" xfId="511" xr:uid="{00000000-0005-0000-0000-000020020000}"/>
    <cellStyle name="60% - Accent4 42" xfId="512" xr:uid="{00000000-0005-0000-0000-000021020000}"/>
    <cellStyle name="60% - Accent4 43" xfId="513" xr:uid="{00000000-0005-0000-0000-000022020000}"/>
    <cellStyle name="60% - Accent4 44" xfId="514" xr:uid="{00000000-0005-0000-0000-000023020000}"/>
    <cellStyle name="60% - Accent4 45" xfId="515" xr:uid="{00000000-0005-0000-0000-000024020000}"/>
    <cellStyle name="60% - Accent4 46" xfId="516" xr:uid="{00000000-0005-0000-0000-000025020000}"/>
    <cellStyle name="60% - Accent4 47" xfId="517" xr:uid="{00000000-0005-0000-0000-000026020000}"/>
    <cellStyle name="60% - Accent4 48" xfId="518" xr:uid="{00000000-0005-0000-0000-000027020000}"/>
    <cellStyle name="60% - Accent4 49" xfId="519" xr:uid="{00000000-0005-0000-0000-000028020000}"/>
    <cellStyle name="60% - Accent4 5" xfId="66" xr:uid="{00000000-0005-0000-0000-000063000000}"/>
    <cellStyle name="60% - Accent4 5 2" xfId="520" xr:uid="{00000000-0005-0000-0000-000029020000}"/>
    <cellStyle name="60% - Accent4 5 3" xfId="1108" xr:uid="{00000000-0005-0000-0000-000075040000}"/>
    <cellStyle name="60% - Accent4 50" xfId="521" xr:uid="{00000000-0005-0000-0000-00002A020000}"/>
    <cellStyle name="60% - Accent4 51" xfId="522" xr:uid="{00000000-0005-0000-0000-00002B020000}"/>
    <cellStyle name="60% - Accent4 52" xfId="523" xr:uid="{00000000-0005-0000-0000-00002C020000}"/>
    <cellStyle name="60% - Accent4 53" xfId="524" xr:uid="{00000000-0005-0000-0000-00002D020000}"/>
    <cellStyle name="60% - Accent4 54" xfId="525" xr:uid="{00000000-0005-0000-0000-00002E020000}"/>
    <cellStyle name="60% - Accent4 55" xfId="526" xr:uid="{00000000-0005-0000-0000-00002F020000}"/>
    <cellStyle name="60% - Accent4 56" xfId="527" xr:uid="{00000000-0005-0000-0000-000030020000}"/>
    <cellStyle name="60% - Accent4 57" xfId="528" xr:uid="{00000000-0005-0000-0000-000031020000}"/>
    <cellStyle name="60% - Accent4 58" xfId="529" xr:uid="{00000000-0005-0000-0000-000032020000}"/>
    <cellStyle name="60% - Accent4 59" xfId="530" xr:uid="{00000000-0005-0000-0000-000033020000}"/>
    <cellStyle name="60% - Accent4 6" xfId="73" xr:uid="{00000000-0005-0000-0000-00006A000000}"/>
    <cellStyle name="60% - Accent4 6 2" xfId="531" xr:uid="{00000000-0005-0000-0000-000034020000}"/>
    <cellStyle name="60% - Accent4 6 3" xfId="1109" xr:uid="{00000000-0005-0000-0000-000076040000}"/>
    <cellStyle name="60% - Accent4 60" xfId="532" xr:uid="{00000000-0005-0000-0000-000035020000}"/>
    <cellStyle name="60% - Accent4 61" xfId="533" xr:uid="{00000000-0005-0000-0000-000036020000}"/>
    <cellStyle name="60% - Accent4 62" xfId="534" xr:uid="{00000000-0005-0000-0000-000037020000}"/>
    <cellStyle name="60% - Accent4 63" xfId="535" xr:uid="{00000000-0005-0000-0000-000038020000}"/>
    <cellStyle name="60% - Accent4 64" xfId="536" xr:uid="{00000000-0005-0000-0000-000039020000}"/>
    <cellStyle name="60% - Accent4 65" xfId="537" xr:uid="{00000000-0005-0000-0000-00003A020000}"/>
    <cellStyle name="60% - Accent4 66" xfId="538" xr:uid="{00000000-0005-0000-0000-00003B020000}"/>
    <cellStyle name="60% - Accent4 67" xfId="539" xr:uid="{00000000-0005-0000-0000-00003C020000}"/>
    <cellStyle name="60% - Accent4 68" xfId="540" xr:uid="{00000000-0005-0000-0000-00003D020000}"/>
    <cellStyle name="60% - Accent4 69" xfId="541" xr:uid="{00000000-0005-0000-0000-00003E020000}"/>
    <cellStyle name="60% - Accent4 7" xfId="542" xr:uid="{00000000-0005-0000-0000-00003F020000}"/>
    <cellStyle name="60% - Accent4 7 2" xfId="1110" xr:uid="{00000000-0005-0000-0000-000077040000}"/>
    <cellStyle name="60% - Accent4 70" xfId="543" xr:uid="{00000000-0005-0000-0000-000040020000}"/>
    <cellStyle name="60% - Accent4 71" xfId="544" xr:uid="{00000000-0005-0000-0000-000041020000}"/>
    <cellStyle name="60% - Accent4 72" xfId="545" xr:uid="{00000000-0005-0000-0000-000042020000}"/>
    <cellStyle name="60% - Accent4 73" xfId="546" xr:uid="{00000000-0005-0000-0000-000043020000}"/>
    <cellStyle name="60% - Accent4 74" xfId="547" xr:uid="{00000000-0005-0000-0000-000044020000}"/>
    <cellStyle name="60% - Accent4 75" xfId="548" xr:uid="{00000000-0005-0000-0000-000045020000}"/>
    <cellStyle name="60% - Accent4 76" xfId="549" xr:uid="{00000000-0005-0000-0000-000046020000}"/>
    <cellStyle name="60% - Accent4 77" xfId="550" xr:uid="{00000000-0005-0000-0000-000047020000}"/>
    <cellStyle name="60% - Accent4 78" xfId="551" xr:uid="{00000000-0005-0000-0000-000048020000}"/>
    <cellStyle name="60% - Accent4 79" xfId="552" xr:uid="{00000000-0005-0000-0000-000049020000}"/>
    <cellStyle name="60% - Accent4 8" xfId="553" xr:uid="{00000000-0005-0000-0000-00004A020000}"/>
    <cellStyle name="60% - Accent4 80" xfId="554" xr:uid="{00000000-0005-0000-0000-00004B020000}"/>
    <cellStyle name="60% - Accent4 81" xfId="555" xr:uid="{00000000-0005-0000-0000-00004C020000}"/>
    <cellStyle name="60% - Accent4 82" xfId="556" xr:uid="{00000000-0005-0000-0000-00004D020000}"/>
    <cellStyle name="60% - Accent4 83" xfId="557" xr:uid="{00000000-0005-0000-0000-00004E020000}"/>
    <cellStyle name="60% - Accent4 84" xfId="558" xr:uid="{00000000-0005-0000-0000-00004F020000}"/>
    <cellStyle name="60% - Accent4 85" xfId="559" xr:uid="{00000000-0005-0000-0000-000050020000}"/>
    <cellStyle name="60% - Accent4 86" xfId="560" xr:uid="{00000000-0005-0000-0000-000051020000}"/>
    <cellStyle name="60% - Accent4 87" xfId="561" xr:uid="{00000000-0005-0000-0000-000052020000}"/>
    <cellStyle name="60% - Accent4 88" xfId="562" xr:uid="{00000000-0005-0000-0000-000053020000}"/>
    <cellStyle name="60% - Accent4 89" xfId="563" xr:uid="{00000000-0005-0000-0000-000054020000}"/>
    <cellStyle name="60% - Accent4 9" xfId="564" xr:uid="{00000000-0005-0000-0000-000055020000}"/>
    <cellStyle name="60% - Accent4 90" xfId="565" xr:uid="{00000000-0005-0000-0000-000056020000}"/>
    <cellStyle name="60% - Accent4 91" xfId="566" xr:uid="{00000000-0005-0000-0000-000057020000}"/>
    <cellStyle name="60% - Accent4 92" xfId="567" xr:uid="{00000000-0005-0000-0000-000058020000}"/>
    <cellStyle name="60% - Accent4 93" xfId="568" xr:uid="{00000000-0005-0000-0000-000059020000}"/>
    <cellStyle name="60% - Accent4 94" xfId="569" xr:uid="{00000000-0005-0000-0000-00005A020000}"/>
    <cellStyle name="60% - Accent4 95" xfId="570" xr:uid="{00000000-0005-0000-0000-00005B020000}"/>
    <cellStyle name="60% - Accent4 96" xfId="571" xr:uid="{00000000-0005-0000-0000-00005C020000}"/>
    <cellStyle name="60% - Accent4 97" xfId="572" xr:uid="{00000000-0005-0000-0000-00005D020000}"/>
    <cellStyle name="60% - Accent4 98" xfId="573" xr:uid="{00000000-0005-0000-0000-00005E020000}"/>
    <cellStyle name="60% - Accent4 99" xfId="574" xr:uid="{00000000-0005-0000-0000-00005F020000}"/>
    <cellStyle name="60% - Accent5 10" xfId="575" xr:uid="{00000000-0005-0000-0000-000060020000}"/>
    <cellStyle name="60% - Accent5 100" xfId="576" xr:uid="{00000000-0005-0000-0000-000061020000}"/>
    <cellStyle name="60% - Accent5 101" xfId="577" xr:uid="{00000000-0005-0000-0000-000062020000}"/>
    <cellStyle name="60% - Accent5 102" xfId="578" xr:uid="{00000000-0005-0000-0000-000063020000}"/>
    <cellStyle name="60% - Accent5 103" xfId="579" xr:uid="{00000000-0005-0000-0000-000064020000}"/>
    <cellStyle name="60% - Accent5 104" xfId="580" xr:uid="{00000000-0005-0000-0000-000065020000}"/>
    <cellStyle name="60% - Accent5 105" xfId="581" xr:uid="{00000000-0005-0000-0000-000066020000}"/>
    <cellStyle name="60% - Accent5 106" xfId="582" xr:uid="{00000000-0005-0000-0000-000067020000}"/>
    <cellStyle name="60% - Accent5 107" xfId="583" xr:uid="{00000000-0005-0000-0000-000068020000}"/>
    <cellStyle name="60% - Accent5 108" xfId="584" xr:uid="{00000000-0005-0000-0000-000069020000}"/>
    <cellStyle name="60% - Accent5 109" xfId="585" xr:uid="{00000000-0005-0000-0000-00006A020000}"/>
    <cellStyle name="60% - Accent5 11" xfId="586" xr:uid="{00000000-0005-0000-0000-00006B020000}"/>
    <cellStyle name="60% - Accent5 110" xfId="587" xr:uid="{00000000-0005-0000-0000-00006C020000}"/>
    <cellStyle name="60% - Accent5 111" xfId="588" xr:uid="{00000000-0005-0000-0000-00006D020000}"/>
    <cellStyle name="60% - Accent5 112" xfId="589" xr:uid="{00000000-0005-0000-0000-00006E020000}"/>
    <cellStyle name="60% - Accent5 113" xfId="590" xr:uid="{00000000-0005-0000-0000-00006F020000}"/>
    <cellStyle name="60% - Accent5 114" xfId="591" xr:uid="{00000000-0005-0000-0000-000070020000}"/>
    <cellStyle name="60% - Accent5 115" xfId="592" xr:uid="{00000000-0005-0000-0000-000071020000}"/>
    <cellStyle name="60% - Accent5 116" xfId="593" xr:uid="{00000000-0005-0000-0000-000072020000}"/>
    <cellStyle name="60% - Accent5 117" xfId="594" xr:uid="{00000000-0005-0000-0000-000073020000}"/>
    <cellStyle name="60% - Accent5 12" xfId="595" xr:uid="{00000000-0005-0000-0000-000074020000}"/>
    <cellStyle name="60% - Accent5 13" xfId="596" xr:uid="{00000000-0005-0000-0000-000075020000}"/>
    <cellStyle name="60% - Accent5 14" xfId="597" xr:uid="{00000000-0005-0000-0000-000076020000}"/>
    <cellStyle name="60% - Accent5 15" xfId="598" xr:uid="{00000000-0005-0000-0000-000077020000}"/>
    <cellStyle name="60% - Accent5 16" xfId="599" xr:uid="{00000000-0005-0000-0000-000078020000}"/>
    <cellStyle name="60% - Accent5 17" xfId="600" xr:uid="{00000000-0005-0000-0000-000079020000}"/>
    <cellStyle name="60% - Accent5 18" xfId="601" xr:uid="{00000000-0005-0000-0000-00007A020000}"/>
    <cellStyle name="60% - Accent5 19" xfId="602" xr:uid="{00000000-0005-0000-0000-00007B020000}"/>
    <cellStyle name="60% - Accent5 2" xfId="27" xr:uid="{00000000-0005-0000-0000-00003C000000}"/>
    <cellStyle name="60% - Accent5 2 2" xfId="603" xr:uid="{00000000-0005-0000-0000-00007C020000}"/>
    <cellStyle name="60% - Accent5 20" xfId="604" xr:uid="{00000000-0005-0000-0000-00007D020000}"/>
    <cellStyle name="60% - Accent5 21" xfId="605" xr:uid="{00000000-0005-0000-0000-00007E020000}"/>
    <cellStyle name="60% - Accent5 22" xfId="606" xr:uid="{00000000-0005-0000-0000-00007F020000}"/>
    <cellStyle name="60% - Accent5 23" xfId="607" xr:uid="{00000000-0005-0000-0000-000080020000}"/>
    <cellStyle name="60% - Accent5 24" xfId="608" xr:uid="{00000000-0005-0000-0000-000081020000}"/>
    <cellStyle name="60% - Accent5 25" xfId="609" xr:uid="{00000000-0005-0000-0000-000082020000}"/>
    <cellStyle name="60% - Accent5 26" xfId="610" xr:uid="{00000000-0005-0000-0000-000083020000}"/>
    <cellStyle name="60% - Accent5 27" xfId="611" xr:uid="{00000000-0005-0000-0000-000084020000}"/>
    <cellStyle name="60% - Accent5 28" xfId="612" xr:uid="{00000000-0005-0000-0000-000085020000}"/>
    <cellStyle name="60% - Accent5 29" xfId="613" xr:uid="{00000000-0005-0000-0000-000086020000}"/>
    <cellStyle name="60% - Accent5 3" xfId="26" xr:uid="{00000000-0005-0000-0000-00003B000000}"/>
    <cellStyle name="60% - Accent5 3 2" xfId="614" xr:uid="{00000000-0005-0000-0000-000087020000}"/>
    <cellStyle name="60% - Accent5 30" xfId="615" xr:uid="{00000000-0005-0000-0000-000088020000}"/>
    <cellStyle name="60% - Accent5 31" xfId="616" xr:uid="{00000000-0005-0000-0000-000089020000}"/>
    <cellStyle name="60% - Accent5 32" xfId="617" xr:uid="{00000000-0005-0000-0000-00008A020000}"/>
    <cellStyle name="60% - Accent5 33" xfId="618" xr:uid="{00000000-0005-0000-0000-00008B020000}"/>
    <cellStyle name="60% - Accent5 34" xfId="619" xr:uid="{00000000-0005-0000-0000-00008C020000}"/>
    <cellStyle name="60% - Accent5 35" xfId="620" xr:uid="{00000000-0005-0000-0000-00008D020000}"/>
    <cellStyle name="60% - Accent5 36" xfId="621" xr:uid="{00000000-0005-0000-0000-00008E020000}"/>
    <cellStyle name="60% - Accent5 37" xfId="622" xr:uid="{00000000-0005-0000-0000-00008F020000}"/>
    <cellStyle name="60% - Accent5 38" xfId="623" xr:uid="{00000000-0005-0000-0000-000090020000}"/>
    <cellStyle name="60% - Accent5 39" xfId="624" xr:uid="{00000000-0005-0000-0000-000091020000}"/>
    <cellStyle name="60% - Accent5 4" xfId="61" xr:uid="{00000000-0005-0000-0000-00005E000000}"/>
    <cellStyle name="60% - Accent5 4 2" xfId="1111" xr:uid="{00000000-0005-0000-0000-000078040000}"/>
    <cellStyle name="60% - Accent5 40" xfId="625" xr:uid="{00000000-0005-0000-0000-000092020000}"/>
    <cellStyle name="60% - Accent5 41" xfId="626" xr:uid="{00000000-0005-0000-0000-000093020000}"/>
    <cellStyle name="60% - Accent5 42" xfId="627" xr:uid="{00000000-0005-0000-0000-000094020000}"/>
    <cellStyle name="60% - Accent5 43" xfId="628" xr:uid="{00000000-0005-0000-0000-000095020000}"/>
    <cellStyle name="60% - Accent5 44" xfId="629" xr:uid="{00000000-0005-0000-0000-000096020000}"/>
    <cellStyle name="60% - Accent5 45" xfId="630" xr:uid="{00000000-0005-0000-0000-000097020000}"/>
    <cellStyle name="60% - Accent5 46" xfId="631" xr:uid="{00000000-0005-0000-0000-000098020000}"/>
    <cellStyle name="60% - Accent5 47" xfId="632" xr:uid="{00000000-0005-0000-0000-000099020000}"/>
    <cellStyle name="60% - Accent5 48" xfId="633" xr:uid="{00000000-0005-0000-0000-00009A020000}"/>
    <cellStyle name="60% - Accent5 49" xfId="634" xr:uid="{00000000-0005-0000-0000-00009B020000}"/>
    <cellStyle name="60% - Accent5 5" xfId="67" xr:uid="{00000000-0005-0000-0000-000064000000}"/>
    <cellStyle name="60% - Accent5 5 2" xfId="635" xr:uid="{00000000-0005-0000-0000-00009C020000}"/>
    <cellStyle name="60% - Accent5 5 3" xfId="1112" xr:uid="{00000000-0005-0000-0000-000079040000}"/>
    <cellStyle name="60% - Accent5 50" xfId="636" xr:uid="{00000000-0005-0000-0000-00009D020000}"/>
    <cellStyle name="60% - Accent5 51" xfId="637" xr:uid="{00000000-0005-0000-0000-00009E020000}"/>
    <cellStyle name="60% - Accent5 52" xfId="638" xr:uid="{00000000-0005-0000-0000-00009F020000}"/>
    <cellStyle name="60% - Accent5 53" xfId="639" xr:uid="{00000000-0005-0000-0000-0000A0020000}"/>
    <cellStyle name="60% - Accent5 54" xfId="640" xr:uid="{00000000-0005-0000-0000-0000A1020000}"/>
    <cellStyle name="60% - Accent5 55" xfId="641" xr:uid="{00000000-0005-0000-0000-0000A2020000}"/>
    <cellStyle name="60% - Accent5 56" xfId="642" xr:uid="{00000000-0005-0000-0000-0000A3020000}"/>
    <cellStyle name="60% - Accent5 57" xfId="643" xr:uid="{00000000-0005-0000-0000-0000A4020000}"/>
    <cellStyle name="60% - Accent5 58" xfId="644" xr:uid="{00000000-0005-0000-0000-0000A5020000}"/>
    <cellStyle name="60% - Accent5 59" xfId="645" xr:uid="{00000000-0005-0000-0000-0000A6020000}"/>
    <cellStyle name="60% - Accent5 6" xfId="72" xr:uid="{00000000-0005-0000-0000-000069000000}"/>
    <cellStyle name="60% - Accent5 6 2" xfId="646" xr:uid="{00000000-0005-0000-0000-0000A7020000}"/>
    <cellStyle name="60% - Accent5 6 3" xfId="1113" xr:uid="{00000000-0005-0000-0000-00007A040000}"/>
    <cellStyle name="60% - Accent5 60" xfId="647" xr:uid="{00000000-0005-0000-0000-0000A8020000}"/>
    <cellStyle name="60% - Accent5 61" xfId="648" xr:uid="{00000000-0005-0000-0000-0000A9020000}"/>
    <cellStyle name="60% - Accent5 62" xfId="649" xr:uid="{00000000-0005-0000-0000-0000AA020000}"/>
    <cellStyle name="60% - Accent5 63" xfId="650" xr:uid="{00000000-0005-0000-0000-0000AB020000}"/>
    <cellStyle name="60% - Accent5 64" xfId="651" xr:uid="{00000000-0005-0000-0000-0000AC020000}"/>
    <cellStyle name="60% - Accent5 65" xfId="652" xr:uid="{00000000-0005-0000-0000-0000AD020000}"/>
    <cellStyle name="60% - Accent5 66" xfId="653" xr:uid="{00000000-0005-0000-0000-0000AE020000}"/>
    <cellStyle name="60% - Accent5 67" xfId="654" xr:uid="{00000000-0005-0000-0000-0000AF020000}"/>
    <cellStyle name="60% - Accent5 68" xfId="655" xr:uid="{00000000-0005-0000-0000-0000B0020000}"/>
    <cellStyle name="60% - Accent5 69" xfId="656" xr:uid="{00000000-0005-0000-0000-0000B1020000}"/>
    <cellStyle name="60% - Accent5 7" xfId="657" xr:uid="{00000000-0005-0000-0000-0000B2020000}"/>
    <cellStyle name="60% - Accent5 7 2" xfId="1114" xr:uid="{00000000-0005-0000-0000-00007B040000}"/>
    <cellStyle name="60% - Accent5 70" xfId="658" xr:uid="{00000000-0005-0000-0000-0000B3020000}"/>
    <cellStyle name="60% - Accent5 71" xfId="659" xr:uid="{00000000-0005-0000-0000-0000B4020000}"/>
    <cellStyle name="60% - Accent5 72" xfId="660" xr:uid="{00000000-0005-0000-0000-0000B5020000}"/>
    <cellStyle name="60% - Accent5 73" xfId="661" xr:uid="{00000000-0005-0000-0000-0000B6020000}"/>
    <cellStyle name="60% - Accent5 74" xfId="662" xr:uid="{00000000-0005-0000-0000-0000B7020000}"/>
    <cellStyle name="60% - Accent5 75" xfId="663" xr:uid="{00000000-0005-0000-0000-0000B8020000}"/>
    <cellStyle name="60% - Accent5 76" xfId="664" xr:uid="{00000000-0005-0000-0000-0000B9020000}"/>
    <cellStyle name="60% - Accent5 77" xfId="665" xr:uid="{00000000-0005-0000-0000-0000BA020000}"/>
    <cellStyle name="60% - Accent5 78" xfId="666" xr:uid="{00000000-0005-0000-0000-0000BB020000}"/>
    <cellStyle name="60% - Accent5 79" xfId="667" xr:uid="{00000000-0005-0000-0000-0000BC020000}"/>
    <cellStyle name="60% - Accent5 8" xfId="668" xr:uid="{00000000-0005-0000-0000-0000BD020000}"/>
    <cellStyle name="60% - Accent5 80" xfId="669" xr:uid="{00000000-0005-0000-0000-0000BE020000}"/>
    <cellStyle name="60% - Accent5 81" xfId="670" xr:uid="{00000000-0005-0000-0000-0000BF020000}"/>
    <cellStyle name="60% - Accent5 82" xfId="671" xr:uid="{00000000-0005-0000-0000-0000C0020000}"/>
    <cellStyle name="60% - Accent5 83" xfId="672" xr:uid="{00000000-0005-0000-0000-0000C1020000}"/>
    <cellStyle name="60% - Accent5 84" xfId="673" xr:uid="{00000000-0005-0000-0000-0000C2020000}"/>
    <cellStyle name="60% - Accent5 85" xfId="674" xr:uid="{00000000-0005-0000-0000-0000C3020000}"/>
    <cellStyle name="60% - Accent5 86" xfId="675" xr:uid="{00000000-0005-0000-0000-0000C4020000}"/>
    <cellStyle name="60% - Accent5 87" xfId="676" xr:uid="{00000000-0005-0000-0000-0000C5020000}"/>
    <cellStyle name="60% - Accent5 88" xfId="677" xr:uid="{00000000-0005-0000-0000-0000C6020000}"/>
    <cellStyle name="60% - Accent5 89" xfId="678" xr:uid="{00000000-0005-0000-0000-0000C7020000}"/>
    <cellStyle name="60% - Accent5 9" xfId="679" xr:uid="{00000000-0005-0000-0000-0000C8020000}"/>
    <cellStyle name="60% - Accent5 90" xfId="680" xr:uid="{00000000-0005-0000-0000-0000C9020000}"/>
    <cellStyle name="60% - Accent5 91" xfId="681" xr:uid="{00000000-0005-0000-0000-0000CA020000}"/>
    <cellStyle name="60% - Accent5 92" xfId="682" xr:uid="{00000000-0005-0000-0000-0000CB020000}"/>
    <cellStyle name="60% - Accent5 93" xfId="683" xr:uid="{00000000-0005-0000-0000-0000CC020000}"/>
    <cellStyle name="60% - Accent5 94" xfId="684" xr:uid="{00000000-0005-0000-0000-0000CD020000}"/>
    <cellStyle name="60% - Accent5 95" xfId="685" xr:uid="{00000000-0005-0000-0000-0000CE020000}"/>
    <cellStyle name="60% - Accent5 96" xfId="686" xr:uid="{00000000-0005-0000-0000-0000CF020000}"/>
    <cellStyle name="60% - Accent5 97" xfId="687" xr:uid="{00000000-0005-0000-0000-0000D0020000}"/>
    <cellStyle name="60% - Accent5 98" xfId="688" xr:uid="{00000000-0005-0000-0000-0000D1020000}"/>
    <cellStyle name="60% - Accent5 99" xfId="689" xr:uid="{00000000-0005-0000-0000-0000D2020000}"/>
    <cellStyle name="60% - Accent6 10" xfId="690" xr:uid="{00000000-0005-0000-0000-0000D3020000}"/>
    <cellStyle name="60% - Accent6 100" xfId="691" xr:uid="{00000000-0005-0000-0000-0000D4020000}"/>
    <cellStyle name="60% - Accent6 101" xfId="692" xr:uid="{00000000-0005-0000-0000-0000D5020000}"/>
    <cellStyle name="60% - Accent6 102" xfId="693" xr:uid="{00000000-0005-0000-0000-0000D6020000}"/>
    <cellStyle name="60% - Accent6 103" xfId="694" xr:uid="{00000000-0005-0000-0000-0000D7020000}"/>
    <cellStyle name="60% - Accent6 104" xfId="695" xr:uid="{00000000-0005-0000-0000-0000D8020000}"/>
    <cellStyle name="60% - Accent6 105" xfId="696" xr:uid="{00000000-0005-0000-0000-0000D9020000}"/>
    <cellStyle name="60% - Accent6 106" xfId="697" xr:uid="{00000000-0005-0000-0000-0000DA020000}"/>
    <cellStyle name="60% - Accent6 107" xfId="698" xr:uid="{00000000-0005-0000-0000-0000DB020000}"/>
    <cellStyle name="60% - Accent6 108" xfId="699" xr:uid="{00000000-0005-0000-0000-0000DC020000}"/>
    <cellStyle name="60% - Accent6 109" xfId="700" xr:uid="{00000000-0005-0000-0000-0000DD020000}"/>
    <cellStyle name="60% - Accent6 11" xfId="701" xr:uid="{00000000-0005-0000-0000-0000DE020000}"/>
    <cellStyle name="60% - Accent6 110" xfId="702" xr:uid="{00000000-0005-0000-0000-0000DF020000}"/>
    <cellStyle name="60% - Accent6 111" xfId="703" xr:uid="{00000000-0005-0000-0000-0000E0020000}"/>
    <cellStyle name="60% - Accent6 112" xfId="704" xr:uid="{00000000-0005-0000-0000-0000E1020000}"/>
    <cellStyle name="60% - Accent6 113" xfId="705" xr:uid="{00000000-0005-0000-0000-0000E2020000}"/>
    <cellStyle name="60% - Accent6 114" xfId="706" xr:uid="{00000000-0005-0000-0000-0000E3020000}"/>
    <cellStyle name="60% - Accent6 115" xfId="707" xr:uid="{00000000-0005-0000-0000-0000E4020000}"/>
    <cellStyle name="60% - Accent6 116" xfId="708" xr:uid="{00000000-0005-0000-0000-0000E5020000}"/>
    <cellStyle name="60% - Accent6 117" xfId="709" xr:uid="{00000000-0005-0000-0000-0000E6020000}"/>
    <cellStyle name="60% - Accent6 12" xfId="710" xr:uid="{00000000-0005-0000-0000-0000E7020000}"/>
    <cellStyle name="60% - Accent6 13" xfId="711" xr:uid="{00000000-0005-0000-0000-0000E8020000}"/>
    <cellStyle name="60% - Accent6 14" xfId="712" xr:uid="{00000000-0005-0000-0000-0000E9020000}"/>
    <cellStyle name="60% - Accent6 15" xfId="713" xr:uid="{00000000-0005-0000-0000-0000EA020000}"/>
    <cellStyle name="60% - Accent6 16" xfId="714" xr:uid="{00000000-0005-0000-0000-0000EB020000}"/>
    <cellStyle name="60% - Accent6 17" xfId="715" xr:uid="{00000000-0005-0000-0000-0000EC020000}"/>
    <cellStyle name="60% - Accent6 18" xfId="716" xr:uid="{00000000-0005-0000-0000-0000ED020000}"/>
    <cellStyle name="60% - Accent6 19" xfId="717" xr:uid="{00000000-0005-0000-0000-0000EE020000}"/>
    <cellStyle name="60% - Accent6 2" xfId="29" xr:uid="{00000000-0005-0000-0000-00003E000000}"/>
    <cellStyle name="60% - Accent6 2 2" xfId="718" xr:uid="{00000000-0005-0000-0000-0000EF020000}"/>
    <cellStyle name="60% - Accent6 20" xfId="719" xr:uid="{00000000-0005-0000-0000-0000F0020000}"/>
    <cellStyle name="60% - Accent6 21" xfId="720" xr:uid="{00000000-0005-0000-0000-0000F1020000}"/>
    <cellStyle name="60% - Accent6 22" xfId="721" xr:uid="{00000000-0005-0000-0000-0000F2020000}"/>
    <cellStyle name="60% - Accent6 23" xfId="722" xr:uid="{00000000-0005-0000-0000-0000F3020000}"/>
    <cellStyle name="60% - Accent6 24" xfId="723" xr:uid="{00000000-0005-0000-0000-0000F4020000}"/>
    <cellStyle name="60% - Accent6 25" xfId="724" xr:uid="{00000000-0005-0000-0000-0000F5020000}"/>
    <cellStyle name="60% - Accent6 26" xfId="725" xr:uid="{00000000-0005-0000-0000-0000F6020000}"/>
    <cellStyle name="60% - Accent6 27" xfId="726" xr:uid="{00000000-0005-0000-0000-0000F7020000}"/>
    <cellStyle name="60% - Accent6 28" xfId="727" xr:uid="{00000000-0005-0000-0000-0000F8020000}"/>
    <cellStyle name="60% - Accent6 29" xfId="728" xr:uid="{00000000-0005-0000-0000-0000F9020000}"/>
    <cellStyle name="60% - Accent6 3" xfId="28" xr:uid="{00000000-0005-0000-0000-00003D000000}"/>
    <cellStyle name="60% - Accent6 3 2" xfId="729" xr:uid="{00000000-0005-0000-0000-0000FA020000}"/>
    <cellStyle name="60% - Accent6 30" xfId="730" xr:uid="{00000000-0005-0000-0000-0000FB020000}"/>
    <cellStyle name="60% - Accent6 31" xfId="731" xr:uid="{00000000-0005-0000-0000-0000FC020000}"/>
    <cellStyle name="60% - Accent6 32" xfId="732" xr:uid="{00000000-0005-0000-0000-0000FD020000}"/>
    <cellStyle name="60% - Accent6 33" xfId="733" xr:uid="{00000000-0005-0000-0000-0000FE020000}"/>
    <cellStyle name="60% - Accent6 34" xfId="734" xr:uid="{00000000-0005-0000-0000-0000FF020000}"/>
    <cellStyle name="60% - Accent6 35" xfId="735" xr:uid="{00000000-0005-0000-0000-000000030000}"/>
    <cellStyle name="60% - Accent6 36" xfId="736" xr:uid="{00000000-0005-0000-0000-000001030000}"/>
    <cellStyle name="60% - Accent6 37" xfId="737" xr:uid="{00000000-0005-0000-0000-000002030000}"/>
    <cellStyle name="60% - Accent6 38" xfId="738" xr:uid="{00000000-0005-0000-0000-000003030000}"/>
    <cellStyle name="60% - Accent6 39" xfId="739" xr:uid="{00000000-0005-0000-0000-000004030000}"/>
    <cellStyle name="60% - Accent6 4" xfId="62" xr:uid="{00000000-0005-0000-0000-00005F000000}"/>
    <cellStyle name="60% - Accent6 4 2" xfId="1115" xr:uid="{00000000-0005-0000-0000-00007C040000}"/>
    <cellStyle name="60% - Accent6 40" xfId="740" xr:uid="{00000000-0005-0000-0000-000005030000}"/>
    <cellStyle name="60% - Accent6 41" xfId="741" xr:uid="{00000000-0005-0000-0000-000006030000}"/>
    <cellStyle name="60% - Accent6 42" xfId="742" xr:uid="{00000000-0005-0000-0000-000007030000}"/>
    <cellStyle name="60% - Accent6 43" xfId="743" xr:uid="{00000000-0005-0000-0000-000008030000}"/>
    <cellStyle name="60% - Accent6 44" xfId="744" xr:uid="{00000000-0005-0000-0000-000009030000}"/>
    <cellStyle name="60% - Accent6 45" xfId="745" xr:uid="{00000000-0005-0000-0000-00000A030000}"/>
    <cellStyle name="60% - Accent6 46" xfId="746" xr:uid="{00000000-0005-0000-0000-00000B030000}"/>
    <cellStyle name="60% - Accent6 47" xfId="747" xr:uid="{00000000-0005-0000-0000-00000C030000}"/>
    <cellStyle name="60% - Accent6 48" xfId="748" xr:uid="{00000000-0005-0000-0000-00000D030000}"/>
    <cellStyle name="60% - Accent6 49" xfId="749" xr:uid="{00000000-0005-0000-0000-00000E030000}"/>
    <cellStyle name="60% - Accent6 5" xfId="68" xr:uid="{00000000-0005-0000-0000-000065000000}"/>
    <cellStyle name="60% - Accent6 5 2" xfId="750" xr:uid="{00000000-0005-0000-0000-00000F030000}"/>
    <cellStyle name="60% - Accent6 5 3" xfId="1116" xr:uid="{00000000-0005-0000-0000-00007D040000}"/>
    <cellStyle name="60% - Accent6 50" xfId="751" xr:uid="{00000000-0005-0000-0000-000010030000}"/>
    <cellStyle name="60% - Accent6 51" xfId="752" xr:uid="{00000000-0005-0000-0000-000011030000}"/>
    <cellStyle name="60% - Accent6 52" xfId="753" xr:uid="{00000000-0005-0000-0000-000012030000}"/>
    <cellStyle name="60% - Accent6 53" xfId="754" xr:uid="{00000000-0005-0000-0000-000013030000}"/>
    <cellStyle name="60% - Accent6 54" xfId="755" xr:uid="{00000000-0005-0000-0000-000014030000}"/>
    <cellStyle name="60% - Accent6 55" xfId="756" xr:uid="{00000000-0005-0000-0000-000015030000}"/>
    <cellStyle name="60% - Accent6 56" xfId="757" xr:uid="{00000000-0005-0000-0000-000016030000}"/>
    <cellStyle name="60% - Accent6 57" xfId="758" xr:uid="{00000000-0005-0000-0000-000017030000}"/>
    <cellStyle name="60% - Accent6 58" xfId="759" xr:uid="{00000000-0005-0000-0000-000018030000}"/>
    <cellStyle name="60% - Accent6 59" xfId="760" xr:uid="{00000000-0005-0000-0000-000019030000}"/>
    <cellStyle name="60% - Accent6 6" xfId="90" xr:uid="{00000000-0005-0000-0000-00007B000000}"/>
    <cellStyle name="60% - Accent6 6 2" xfId="761" xr:uid="{00000000-0005-0000-0000-00001A030000}"/>
    <cellStyle name="60% - Accent6 6 3" xfId="1117" xr:uid="{00000000-0005-0000-0000-00007E040000}"/>
    <cellStyle name="60% - Accent6 60" xfId="762" xr:uid="{00000000-0005-0000-0000-00001B030000}"/>
    <cellStyle name="60% - Accent6 61" xfId="763" xr:uid="{00000000-0005-0000-0000-00001C030000}"/>
    <cellStyle name="60% - Accent6 62" xfId="764" xr:uid="{00000000-0005-0000-0000-00001D030000}"/>
    <cellStyle name="60% - Accent6 63" xfId="765" xr:uid="{00000000-0005-0000-0000-00001E030000}"/>
    <cellStyle name="60% - Accent6 64" xfId="766" xr:uid="{00000000-0005-0000-0000-00001F030000}"/>
    <cellStyle name="60% - Accent6 65" xfId="767" xr:uid="{00000000-0005-0000-0000-000020030000}"/>
    <cellStyle name="60% - Accent6 66" xfId="768" xr:uid="{00000000-0005-0000-0000-000021030000}"/>
    <cellStyle name="60% - Accent6 67" xfId="769" xr:uid="{00000000-0005-0000-0000-000022030000}"/>
    <cellStyle name="60% - Accent6 68" xfId="770" xr:uid="{00000000-0005-0000-0000-000023030000}"/>
    <cellStyle name="60% - Accent6 69" xfId="771" xr:uid="{00000000-0005-0000-0000-000024030000}"/>
    <cellStyle name="60% - Accent6 7" xfId="772" xr:uid="{00000000-0005-0000-0000-000025030000}"/>
    <cellStyle name="60% - Accent6 7 2" xfId="1118" xr:uid="{00000000-0005-0000-0000-00007F040000}"/>
    <cellStyle name="60% - Accent6 70" xfId="773" xr:uid="{00000000-0005-0000-0000-000026030000}"/>
    <cellStyle name="60% - Accent6 71" xfId="774" xr:uid="{00000000-0005-0000-0000-000027030000}"/>
    <cellStyle name="60% - Accent6 72" xfId="775" xr:uid="{00000000-0005-0000-0000-000028030000}"/>
    <cellStyle name="60% - Accent6 73" xfId="776" xr:uid="{00000000-0005-0000-0000-000029030000}"/>
    <cellStyle name="60% - Accent6 74" xfId="777" xr:uid="{00000000-0005-0000-0000-00002A030000}"/>
    <cellStyle name="60% - Accent6 75" xfId="778" xr:uid="{00000000-0005-0000-0000-00002B030000}"/>
    <cellStyle name="60% - Accent6 76" xfId="779" xr:uid="{00000000-0005-0000-0000-00002C030000}"/>
    <cellStyle name="60% - Accent6 77" xfId="780" xr:uid="{00000000-0005-0000-0000-00002D030000}"/>
    <cellStyle name="60% - Accent6 78" xfId="781" xr:uid="{00000000-0005-0000-0000-00002E030000}"/>
    <cellStyle name="60% - Accent6 79" xfId="782" xr:uid="{00000000-0005-0000-0000-00002F030000}"/>
    <cellStyle name="60% - Accent6 8" xfId="783" xr:uid="{00000000-0005-0000-0000-000030030000}"/>
    <cellStyle name="60% - Accent6 80" xfId="784" xr:uid="{00000000-0005-0000-0000-000031030000}"/>
    <cellStyle name="60% - Accent6 81" xfId="785" xr:uid="{00000000-0005-0000-0000-000032030000}"/>
    <cellStyle name="60% - Accent6 82" xfId="786" xr:uid="{00000000-0005-0000-0000-000033030000}"/>
    <cellStyle name="60% - Accent6 83" xfId="787" xr:uid="{00000000-0005-0000-0000-000034030000}"/>
    <cellStyle name="60% - Accent6 84" xfId="788" xr:uid="{00000000-0005-0000-0000-000035030000}"/>
    <cellStyle name="60% - Accent6 85" xfId="789" xr:uid="{00000000-0005-0000-0000-000036030000}"/>
    <cellStyle name="60% - Accent6 86" xfId="790" xr:uid="{00000000-0005-0000-0000-000037030000}"/>
    <cellStyle name="60% - Accent6 87" xfId="791" xr:uid="{00000000-0005-0000-0000-000038030000}"/>
    <cellStyle name="60% - Accent6 88" xfId="792" xr:uid="{00000000-0005-0000-0000-000039030000}"/>
    <cellStyle name="60% - Accent6 89" xfId="793" xr:uid="{00000000-0005-0000-0000-00003A030000}"/>
    <cellStyle name="60% - Accent6 9" xfId="794" xr:uid="{00000000-0005-0000-0000-00003B030000}"/>
    <cellStyle name="60% - Accent6 90" xfId="795" xr:uid="{00000000-0005-0000-0000-00003C030000}"/>
    <cellStyle name="60% - Accent6 91" xfId="796" xr:uid="{00000000-0005-0000-0000-00003D030000}"/>
    <cellStyle name="60% - Accent6 92" xfId="797" xr:uid="{00000000-0005-0000-0000-00003E030000}"/>
    <cellStyle name="60% - Accent6 93" xfId="798" xr:uid="{00000000-0005-0000-0000-00003F030000}"/>
    <cellStyle name="60% - Accent6 94" xfId="799" xr:uid="{00000000-0005-0000-0000-000040030000}"/>
    <cellStyle name="60% - Accent6 95" xfId="800" xr:uid="{00000000-0005-0000-0000-000041030000}"/>
    <cellStyle name="60% - Accent6 96" xfId="801" xr:uid="{00000000-0005-0000-0000-000042030000}"/>
    <cellStyle name="60% - Accent6 97" xfId="802" xr:uid="{00000000-0005-0000-0000-000043030000}"/>
    <cellStyle name="60% - Accent6 98" xfId="803" xr:uid="{00000000-0005-0000-0000-000044030000}"/>
    <cellStyle name="60% - Accent6 99" xfId="804" xr:uid="{00000000-0005-0000-0000-000045030000}"/>
    <cellStyle name="Accent1 2" xfId="30" xr:uid="{00000000-0005-0000-0000-00003F000000}"/>
    <cellStyle name="Accent1 3" xfId="91" xr:uid="{00000000-0005-0000-0000-00007C000000}"/>
    <cellStyle name="Accent1 3 2" xfId="1119" xr:uid="{00000000-0005-0000-0000-000080040000}"/>
    <cellStyle name="Accent1 4" xfId="1120" xr:uid="{00000000-0005-0000-0000-000081040000}"/>
    <cellStyle name="Accent1 5" xfId="1121" xr:uid="{00000000-0005-0000-0000-000082040000}"/>
    <cellStyle name="Accent1 6" xfId="1122" xr:uid="{00000000-0005-0000-0000-000083040000}"/>
    <cellStyle name="Accent1 7" xfId="1123" xr:uid="{00000000-0005-0000-0000-000084040000}"/>
    <cellStyle name="Accent2 2" xfId="31" xr:uid="{00000000-0005-0000-0000-000040000000}"/>
    <cellStyle name="Accent2 3" xfId="92" xr:uid="{00000000-0005-0000-0000-00007D000000}"/>
    <cellStyle name="Accent2 3 2" xfId="1124" xr:uid="{00000000-0005-0000-0000-000085040000}"/>
    <cellStyle name="Accent2 4" xfId="1125" xr:uid="{00000000-0005-0000-0000-000086040000}"/>
    <cellStyle name="Accent2 5" xfId="1126" xr:uid="{00000000-0005-0000-0000-000087040000}"/>
    <cellStyle name="Accent2 6" xfId="1127" xr:uid="{00000000-0005-0000-0000-000088040000}"/>
    <cellStyle name="Accent2 7" xfId="1128" xr:uid="{00000000-0005-0000-0000-000089040000}"/>
    <cellStyle name="Accent3 2" xfId="32" xr:uid="{00000000-0005-0000-0000-000041000000}"/>
    <cellStyle name="Accent3 3" xfId="93" xr:uid="{00000000-0005-0000-0000-00007E000000}"/>
    <cellStyle name="Accent3 3 2" xfId="1129" xr:uid="{00000000-0005-0000-0000-00008A040000}"/>
    <cellStyle name="Accent3 4" xfId="1130" xr:uid="{00000000-0005-0000-0000-00008B040000}"/>
    <cellStyle name="Accent3 5" xfId="1131" xr:uid="{00000000-0005-0000-0000-00008C040000}"/>
    <cellStyle name="Accent3 6" xfId="1132" xr:uid="{00000000-0005-0000-0000-00008D040000}"/>
    <cellStyle name="Accent3 7" xfId="1133" xr:uid="{00000000-0005-0000-0000-00008E040000}"/>
    <cellStyle name="Accent4 2" xfId="33" xr:uid="{00000000-0005-0000-0000-000042000000}"/>
    <cellStyle name="Accent4 3" xfId="94" xr:uid="{00000000-0005-0000-0000-00007F000000}"/>
    <cellStyle name="Accent4 3 2" xfId="1134" xr:uid="{00000000-0005-0000-0000-00008F040000}"/>
    <cellStyle name="Accent4 4" xfId="1135" xr:uid="{00000000-0005-0000-0000-000090040000}"/>
    <cellStyle name="Accent4 5" xfId="1136" xr:uid="{00000000-0005-0000-0000-000091040000}"/>
    <cellStyle name="Accent4 6" xfId="1137" xr:uid="{00000000-0005-0000-0000-000092040000}"/>
    <cellStyle name="Accent4 7" xfId="1138" xr:uid="{00000000-0005-0000-0000-000093040000}"/>
    <cellStyle name="Accent5 2" xfId="34" xr:uid="{00000000-0005-0000-0000-000043000000}"/>
    <cellStyle name="Accent5 3" xfId="95" xr:uid="{00000000-0005-0000-0000-000080000000}"/>
    <cellStyle name="Accent5 3 2" xfId="1139" xr:uid="{00000000-0005-0000-0000-000094040000}"/>
    <cellStyle name="Accent5 4" xfId="1140" xr:uid="{00000000-0005-0000-0000-000095040000}"/>
    <cellStyle name="Accent5 5" xfId="1141" xr:uid="{00000000-0005-0000-0000-000096040000}"/>
    <cellStyle name="Accent5 6" xfId="1142" xr:uid="{00000000-0005-0000-0000-000097040000}"/>
    <cellStyle name="Accent5 7" xfId="1143" xr:uid="{00000000-0005-0000-0000-000098040000}"/>
    <cellStyle name="Accent6 2" xfId="35" xr:uid="{00000000-0005-0000-0000-000044000000}"/>
    <cellStyle name="Accent6 3" xfId="96" xr:uid="{00000000-0005-0000-0000-000081000000}"/>
    <cellStyle name="Accent6 3 2" xfId="1144" xr:uid="{00000000-0005-0000-0000-000099040000}"/>
    <cellStyle name="Accent6 4" xfId="1145" xr:uid="{00000000-0005-0000-0000-00009A040000}"/>
    <cellStyle name="Accent6 5" xfId="1146" xr:uid="{00000000-0005-0000-0000-00009B040000}"/>
    <cellStyle name="Accent6 6" xfId="1147" xr:uid="{00000000-0005-0000-0000-00009C040000}"/>
    <cellStyle name="Accent6 7" xfId="1148" xr:uid="{00000000-0005-0000-0000-00009D040000}"/>
    <cellStyle name="Ali" xfId="1237" xr:uid="{00000000-0005-0000-0000-0000F6040000}"/>
    <cellStyle name="Bad 2" xfId="36" xr:uid="{00000000-0005-0000-0000-000045000000}"/>
    <cellStyle name="Bad 3" xfId="97" xr:uid="{00000000-0005-0000-0000-000082000000}"/>
    <cellStyle name="Bad 3 2" xfId="1149" xr:uid="{00000000-0005-0000-0000-00009E040000}"/>
    <cellStyle name="Bad 4" xfId="1150" xr:uid="{00000000-0005-0000-0000-00009F040000}"/>
    <cellStyle name="Bad 5" xfId="1151" xr:uid="{00000000-0005-0000-0000-0000A0040000}"/>
    <cellStyle name="Bad 6" xfId="1152" xr:uid="{00000000-0005-0000-0000-0000A1040000}"/>
    <cellStyle name="Bad 7" xfId="1153" xr:uid="{00000000-0005-0000-0000-0000A2040000}"/>
    <cellStyle name="Calculation 2" xfId="37" xr:uid="{00000000-0005-0000-0000-000046000000}"/>
    <cellStyle name="Calculation 3" xfId="98" xr:uid="{00000000-0005-0000-0000-000083000000}"/>
    <cellStyle name="Calculation 3 2" xfId="1154" xr:uid="{00000000-0005-0000-0000-0000A3040000}"/>
    <cellStyle name="Calculation 4" xfId="1155" xr:uid="{00000000-0005-0000-0000-0000A4040000}"/>
    <cellStyle name="Calculation 5" xfId="1156" xr:uid="{00000000-0005-0000-0000-0000A5040000}"/>
    <cellStyle name="Calculation 6" xfId="1157" xr:uid="{00000000-0005-0000-0000-0000A6040000}"/>
    <cellStyle name="Calculation 7" xfId="1158" xr:uid="{00000000-0005-0000-0000-0000A7040000}"/>
    <cellStyle name="Check Cell 2" xfId="38" xr:uid="{00000000-0005-0000-0000-000047000000}"/>
    <cellStyle name="Check Cell 3" xfId="99" xr:uid="{00000000-0005-0000-0000-000084000000}"/>
    <cellStyle name="Check Cell 3 2" xfId="1159" xr:uid="{00000000-0005-0000-0000-0000A8040000}"/>
    <cellStyle name="Check Cell 4" xfId="1160" xr:uid="{00000000-0005-0000-0000-0000A9040000}"/>
    <cellStyle name="Check Cell 5" xfId="1161" xr:uid="{00000000-0005-0000-0000-0000AA040000}"/>
    <cellStyle name="Check Cell 6" xfId="1162" xr:uid="{00000000-0005-0000-0000-0000AB040000}"/>
    <cellStyle name="Check Cell 7" xfId="1163" xr:uid="{00000000-0005-0000-0000-0000AC040000}"/>
    <cellStyle name="Explanatory Text 2" xfId="39" xr:uid="{00000000-0005-0000-0000-000048000000}"/>
    <cellStyle name="Explanatory Text 3" xfId="100" xr:uid="{00000000-0005-0000-0000-000085000000}"/>
    <cellStyle name="Explanatory Text 3 2" xfId="1164" xr:uid="{00000000-0005-0000-0000-0000AD040000}"/>
    <cellStyle name="Explanatory Text 4" xfId="1165" xr:uid="{00000000-0005-0000-0000-0000AE040000}"/>
    <cellStyle name="Explanatory Text 5" xfId="1166" xr:uid="{00000000-0005-0000-0000-0000AF040000}"/>
    <cellStyle name="Explanatory Text 6" xfId="1167" xr:uid="{00000000-0005-0000-0000-0000B0040000}"/>
    <cellStyle name="Explanatory Text 7" xfId="1168" xr:uid="{00000000-0005-0000-0000-0000B1040000}"/>
    <cellStyle name="Good 2" xfId="40" xr:uid="{00000000-0005-0000-0000-000049000000}"/>
    <cellStyle name="Good 3" xfId="101" xr:uid="{00000000-0005-0000-0000-000086000000}"/>
    <cellStyle name="Good 3 2" xfId="1169" xr:uid="{00000000-0005-0000-0000-0000B2040000}"/>
    <cellStyle name="Good 4" xfId="1170" xr:uid="{00000000-0005-0000-0000-0000B3040000}"/>
    <cellStyle name="Good 5" xfId="1171" xr:uid="{00000000-0005-0000-0000-0000B4040000}"/>
    <cellStyle name="Good 6" xfId="1172" xr:uid="{00000000-0005-0000-0000-0000B5040000}"/>
    <cellStyle name="Good 7" xfId="1173" xr:uid="{00000000-0005-0000-0000-0000B6040000}"/>
    <cellStyle name="Heading 1 2" xfId="41" xr:uid="{00000000-0005-0000-0000-00004A000000}"/>
    <cellStyle name="Heading 1 3" xfId="102" xr:uid="{00000000-0005-0000-0000-000087000000}"/>
    <cellStyle name="Heading 1 3 2" xfId="1174" xr:uid="{00000000-0005-0000-0000-0000B7040000}"/>
    <cellStyle name="Heading 1 4" xfId="1175" xr:uid="{00000000-0005-0000-0000-0000B8040000}"/>
    <cellStyle name="Heading 1 5" xfId="1176" xr:uid="{00000000-0005-0000-0000-0000B9040000}"/>
    <cellStyle name="Heading 1 6" xfId="1177" xr:uid="{00000000-0005-0000-0000-0000BA040000}"/>
    <cellStyle name="Heading 1 7" xfId="1178" xr:uid="{00000000-0005-0000-0000-0000BB040000}"/>
    <cellStyle name="Heading 2 2" xfId="42" xr:uid="{00000000-0005-0000-0000-00004B000000}"/>
    <cellStyle name="Heading 2 3" xfId="103" xr:uid="{00000000-0005-0000-0000-000088000000}"/>
    <cellStyle name="Heading 2 3 2" xfId="1179" xr:uid="{00000000-0005-0000-0000-0000BC040000}"/>
    <cellStyle name="Heading 2 4" xfId="1180" xr:uid="{00000000-0005-0000-0000-0000BD040000}"/>
    <cellStyle name="Heading 2 5" xfId="1181" xr:uid="{00000000-0005-0000-0000-0000BE040000}"/>
    <cellStyle name="Heading 2 6" xfId="1182" xr:uid="{00000000-0005-0000-0000-0000BF040000}"/>
    <cellStyle name="Heading 2 7" xfId="1183" xr:uid="{00000000-0005-0000-0000-0000C0040000}"/>
    <cellStyle name="Heading 3 2" xfId="43" xr:uid="{00000000-0005-0000-0000-00004C000000}"/>
    <cellStyle name="Heading 3 3" xfId="104" xr:uid="{00000000-0005-0000-0000-000089000000}"/>
    <cellStyle name="Heading 3 3 2" xfId="1184" xr:uid="{00000000-0005-0000-0000-0000C1040000}"/>
    <cellStyle name="Heading 3 4" xfId="1185" xr:uid="{00000000-0005-0000-0000-0000C2040000}"/>
    <cellStyle name="Heading 3 5" xfId="1186" xr:uid="{00000000-0005-0000-0000-0000C3040000}"/>
    <cellStyle name="Heading 3 6" xfId="1187" xr:uid="{00000000-0005-0000-0000-0000C4040000}"/>
    <cellStyle name="Heading 3 7" xfId="1188" xr:uid="{00000000-0005-0000-0000-0000C5040000}"/>
    <cellStyle name="Heading 4 2" xfId="44" xr:uid="{00000000-0005-0000-0000-00004D000000}"/>
    <cellStyle name="Heading 4 3" xfId="105" xr:uid="{00000000-0005-0000-0000-00008A000000}"/>
    <cellStyle name="Heading 4 3 2" xfId="1189" xr:uid="{00000000-0005-0000-0000-0000C6040000}"/>
    <cellStyle name="Heading 4 4" xfId="1190" xr:uid="{00000000-0005-0000-0000-0000C7040000}"/>
    <cellStyle name="Heading 4 5" xfId="1191" xr:uid="{00000000-0005-0000-0000-0000C8040000}"/>
    <cellStyle name="Heading 4 6" xfId="1192" xr:uid="{00000000-0005-0000-0000-0000C9040000}"/>
    <cellStyle name="Heading 4 7" xfId="1193" xr:uid="{00000000-0005-0000-0000-0000CA040000}"/>
    <cellStyle name="Hyperlink" xfId="1" builtinId="8"/>
    <cellStyle name="Input 2" xfId="45" xr:uid="{00000000-0005-0000-0000-00004E000000}"/>
    <cellStyle name="Input 3" xfId="106" xr:uid="{00000000-0005-0000-0000-00008B000000}"/>
    <cellStyle name="Input 3 2" xfId="1194" xr:uid="{00000000-0005-0000-0000-0000CB040000}"/>
    <cellStyle name="Input 4" xfId="1195" xr:uid="{00000000-0005-0000-0000-0000CC040000}"/>
    <cellStyle name="Input 5" xfId="1196" xr:uid="{00000000-0005-0000-0000-0000CD040000}"/>
    <cellStyle name="Input 6" xfId="1197" xr:uid="{00000000-0005-0000-0000-0000CE040000}"/>
    <cellStyle name="Input 7" xfId="1198" xr:uid="{00000000-0005-0000-0000-0000CF040000}"/>
    <cellStyle name="Linked Cell 2" xfId="46" xr:uid="{00000000-0005-0000-0000-00004F000000}"/>
    <cellStyle name="Linked Cell 3" xfId="107" xr:uid="{00000000-0005-0000-0000-00008C000000}"/>
    <cellStyle name="Linked Cell 3 2" xfId="1199" xr:uid="{00000000-0005-0000-0000-0000D0040000}"/>
    <cellStyle name="Linked Cell 4" xfId="1200" xr:uid="{00000000-0005-0000-0000-0000D1040000}"/>
    <cellStyle name="Linked Cell 5" xfId="1201" xr:uid="{00000000-0005-0000-0000-0000D2040000}"/>
    <cellStyle name="Linked Cell 6" xfId="1202" xr:uid="{00000000-0005-0000-0000-0000D3040000}"/>
    <cellStyle name="Linked Cell 7" xfId="1203" xr:uid="{00000000-0005-0000-0000-0000D4040000}"/>
    <cellStyle name="MS_Arabic" xfId="1233" xr:uid="{00000000-0005-0000-0000-0000F2040000}"/>
    <cellStyle name="Neutral 10" xfId="805" xr:uid="{00000000-0005-0000-0000-000046030000}"/>
    <cellStyle name="Neutral 100" xfId="806" xr:uid="{00000000-0005-0000-0000-000047030000}"/>
    <cellStyle name="Neutral 101" xfId="807" xr:uid="{00000000-0005-0000-0000-000048030000}"/>
    <cellStyle name="Neutral 102" xfId="808" xr:uid="{00000000-0005-0000-0000-000049030000}"/>
    <cellStyle name="Neutral 103" xfId="809" xr:uid="{00000000-0005-0000-0000-00004A030000}"/>
    <cellStyle name="Neutral 104" xfId="810" xr:uid="{00000000-0005-0000-0000-00004B030000}"/>
    <cellStyle name="Neutral 105" xfId="811" xr:uid="{00000000-0005-0000-0000-00004C030000}"/>
    <cellStyle name="Neutral 106" xfId="812" xr:uid="{00000000-0005-0000-0000-00004D030000}"/>
    <cellStyle name="Neutral 107" xfId="813" xr:uid="{00000000-0005-0000-0000-00004E030000}"/>
    <cellStyle name="Neutral 108" xfId="814" xr:uid="{00000000-0005-0000-0000-00004F030000}"/>
    <cellStyle name="Neutral 109" xfId="815" xr:uid="{00000000-0005-0000-0000-000050030000}"/>
    <cellStyle name="Neutral 11" xfId="816" xr:uid="{00000000-0005-0000-0000-000051030000}"/>
    <cellStyle name="Neutral 110" xfId="817" xr:uid="{00000000-0005-0000-0000-000052030000}"/>
    <cellStyle name="Neutral 111" xfId="818" xr:uid="{00000000-0005-0000-0000-000053030000}"/>
    <cellStyle name="Neutral 112" xfId="819" xr:uid="{00000000-0005-0000-0000-000054030000}"/>
    <cellStyle name="Neutral 113" xfId="820" xr:uid="{00000000-0005-0000-0000-000055030000}"/>
    <cellStyle name="Neutral 114" xfId="821" xr:uid="{00000000-0005-0000-0000-000056030000}"/>
    <cellStyle name="Neutral 115" xfId="822" xr:uid="{00000000-0005-0000-0000-000057030000}"/>
    <cellStyle name="Neutral 116" xfId="823" xr:uid="{00000000-0005-0000-0000-000058030000}"/>
    <cellStyle name="Neutral 117" xfId="824" xr:uid="{00000000-0005-0000-0000-000059030000}"/>
    <cellStyle name="Neutral 12" xfId="825" xr:uid="{00000000-0005-0000-0000-00005A030000}"/>
    <cellStyle name="Neutral 13" xfId="826" xr:uid="{00000000-0005-0000-0000-00005B030000}"/>
    <cellStyle name="Neutral 14" xfId="827" xr:uid="{00000000-0005-0000-0000-00005C030000}"/>
    <cellStyle name="Neutral 15" xfId="828" xr:uid="{00000000-0005-0000-0000-00005D030000}"/>
    <cellStyle name="Neutral 16" xfId="829" xr:uid="{00000000-0005-0000-0000-00005E030000}"/>
    <cellStyle name="Neutral 17" xfId="830" xr:uid="{00000000-0005-0000-0000-00005F030000}"/>
    <cellStyle name="Neutral 18" xfId="831" xr:uid="{00000000-0005-0000-0000-000060030000}"/>
    <cellStyle name="Neutral 19" xfId="832" xr:uid="{00000000-0005-0000-0000-000061030000}"/>
    <cellStyle name="Neutral 2" xfId="48" xr:uid="{00000000-0005-0000-0000-000051000000}"/>
    <cellStyle name="Neutral 2 2" xfId="833" xr:uid="{00000000-0005-0000-0000-000062030000}"/>
    <cellStyle name="Neutral 20" xfId="834" xr:uid="{00000000-0005-0000-0000-000063030000}"/>
    <cellStyle name="Neutral 21" xfId="835" xr:uid="{00000000-0005-0000-0000-000064030000}"/>
    <cellStyle name="Neutral 22" xfId="836" xr:uid="{00000000-0005-0000-0000-000065030000}"/>
    <cellStyle name="Neutral 23" xfId="837" xr:uid="{00000000-0005-0000-0000-000066030000}"/>
    <cellStyle name="Neutral 24" xfId="838" xr:uid="{00000000-0005-0000-0000-000067030000}"/>
    <cellStyle name="Neutral 25" xfId="839" xr:uid="{00000000-0005-0000-0000-000068030000}"/>
    <cellStyle name="Neutral 26" xfId="840" xr:uid="{00000000-0005-0000-0000-000069030000}"/>
    <cellStyle name="Neutral 27" xfId="841" xr:uid="{00000000-0005-0000-0000-00006A030000}"/>
    <cellStyle name="Neutral 28" xfId="842" xr:uid="{00000000-0005-0000-0000-00006B030000}"/>
    <cellStyle name="Neutral 29" xfId="843" xr:uid="{00000000-0005-0000-0000-00006C030000}"/>
    <cellStyle name="Neutral 3" xfId="47" xr:uid="{00000000-0005-0000-0000-000050000000}"/>
    <cellStyle name="Neutral 3 2" xfId="844" xr:uid="{00000000-0005-0000-0000-00006D030000}"/>
    <cellStyle name="Neutral 30" xfId="845" xr:uid="{00000000-0005-0000-0000-00006E030000}"/>
    <cellStyle name="Neutral 31" xfId="846" xr:uid="{00000000-0005-0000-0000-00006F030000}"/>
    <cellStyle name="Neutral 32" xfId="847" xr:uid="{00000000-0005-0000-0000-000070030000}"/>
    <cellStyle name="Neutral 33" xfId="848" xr:uid="{00000000-0005-0000-0000-000071030000}"/>
    <cellStyle name="Neutral 34" xfId="849" xr:uid="{00000000-0005-0000-0000-000072030000}"/>
    <cellStyle name="Neutral 35" xfId="850" xr:uid="{00000000-0005-0000-0000-000073030000}"/>
    <cellStyle name="Neutral 36" xfId="851" xr:uid="{00000000-0005-0000-0000-000074030000}"/>
    <cellStyle name="Neutral 37" xfId="852" xr:uid="{00000000-0005-0000-0000-000075030000}"/>
    <cellStyle name="Neutral 38" xfId="853" xr:uid="{00000000-0005-0000-0000-000076030000}"/>
    <cellStyle name="Neutral 39" xfId="854" xr:uid="{00000000-0005-0000-0000-000077030000}"/>
    <cellStyle name="Neutral 4" xfId="56" xr:uid="{00000000-0005-0000-0000-000059000000}"/>
    <cellStyle name="Neutral 4 2" xfId="1204" xr:uid="{00000000-0005-0000-0000-0000D5040000}"/>
    <cellStyle name="Neutral 40" xfId="855" xr:uid="{00000000-0005-0000-0000-000078030000}"/>
    <cellStyle name="Neutral 41" xfId="856" xr:uid="{00000000-0005-0000-0000-000079030000}"/>
    <cellStyle name="Neutral 42" xfId="857" xr:uid="{00000000-0005-0000-0000-00007A030000}"/>
    <cellStyle name="Neutral 43" xfId="858" xr:uid="{00000000-0005-0000-0000-00007B030000}"/>
    <cellStyle name="Neutral 44" xfId="859" xr:uid="{00000000-0005-0000-0000-00007C030000}"/>
    <cellStyle name="Neutral 45" xfId="860" xr:uid="{00000000-0005-0000-0000-00007D030000}"/>
    <cellStyle name="Neutral 46" xfId="861" xr:uid="{00000000-0005-0000-0000-00007E030000}"/>
    <cellStyle name="Neutral 47" xfId="862" xr:uid="{00000000-0005-0000-0000-00007F030000}"/>
    <cellStyle name="Neutral 48" xfId="863" xr:uid="{00000000-0005-0000-0000-000080030000}"/>
    <cellStyle name="Neutral 49" xfId="864" xr:uid="{00000000-0005-0000-0000-000081030000}"/>
    <cellStyle name="Neutral 5" xfId="69" xr:uid="{00000000-0005-0000-0000-000066000000}"/>
    <cellStyle name="Neutral 5 2" xfId="865" xr:uid="{00000000-0005-0000-0000-000082030000}"/>
    <cellStyle name="Neutral 5 3" xfId="1205" xr:uid="{00000000-0005-0000-0000-0000D6040000}"/>
    <cellStyle name="Neutral 50" xfId="866" xr:uid="{00000000-0005-0000-0000-000083030000}"/>
    <cellStyle name="Neutral 51" xfId="867" xr:uid="{00000000-0005-0000-0000-000084030000}"/>
    <cellStyle name="Neutral 52" xfId="868" xr:uid="{00000000-0005-0000-0000-000085030000}"/>
    <cellStyle name="Neutral 53" xfId="869" xr:uid="{00000000-0005-0000-0000-000086030000}"/>
    <cellStyle name="Neutral 54" xfId="870" xr:uid="{00000000-0005-0000-0000-000087030000}"/>
    <cellStyle name="Neutral 55" xfId="871" xr:uid="{00000000-0005-0000-0000-000088030000}"/>
    <cellStyle name="Neutral 56" xfId="872" xr:uid="{00000000-0005-0000-0000-000089030000}"/>
    <cellStyle name="Neutral 57" xfId="873" xr:uid="{00000000-0005-0000-0000-00008A030000}"/>
    <cellStyle name="Neutral 58" xfId="874" xr:uid="{00000000-0005-0000-0000-00008B030000}"/>
    <cellStyle name="Neutral 59" xfId="875" xr:uid="{00000000-0005-0000-0000-00008C030000}"/>
    <cellStyle name="Neutral 6" xfId="108" xr:uid="{00000000-0005-0000-0000-00008D000000}"/>
    <cellStyle name="Neutral 6 2" xfId="876" xr:uid="{00000000-0005-0000-0000-00008D030000}"/>
    <cellStyle name="Neutral 6 3" xfId="1206" xr:uid="{00000000-0005-0000-0000-0000D7040000}"/>
    <cellStyle name="Neutral 60" xfId="877" xr:uid="{00000000-0005-0000-0000-00008E030000}"/>
    <cellStyle name="Neutral 61" xfId="878" xr:uid="{00000000-0005-0000-0000-00008F030000}"/>
    <cellStyle name="Neutral 62" xfId="879" xr:uid="{00000000-0005-0000-0000-000090030000}"/>
    <cellStyle name="Neutral 63" xfId="880" xr:uid="{00000000-0005-0000-0000-000091030000}"/>
    <cellStyle name="Neutral 64" xfId="881" xr:uid="{00000000-0005-0000-0000-000092030000}"/>
    <cellStyle name="Neutral 65" xfId="882" xr:uid="{00000000-0005-0000-0000-000093030000}"/>
    <cellStyle name="Neutral 66" xfId="883" xr:uid="{00000000-0005-0000-0000-000094030000}"/>
    <cellStyle name="Neutral 67" xfId="884" xr:uid="{00000000-0005-0000-0000-000095030000}"/>
    <cellStyle name="Neutral 68" xfId="885" xr:uid="{00000000-0005-0000-0000-000096030000}"/>
    <cellStyle name="Neutral 69" xfId="886" xr:uid="{00000000-0005-0000-0000-000097030000}"/>
    <cellStyle name="Neutral 7" xfId="887" xr:uid="{00000000-0005-0000-0000-000098030000}"/>
    <cellStyle name="Neutral 7 2" xfId="1207" xr:uid="{00000000-0005-0000-0000-0000D8040000}"/>
    <cellStyle name="Neutral 70" xfId="888" xr:uid="{00000000-0005-0000-0000-000099030000}"/>
    <cellStyle name="Neutral 71" xfId="889" xr:uid="{00000000-0005-0000-0000-00009A030000}"/>
    <cellStyle name="Neutral 72" xfId="890" xr:uid="{00000000-0005-0000-0000-00009B030000}"/>
    <cellStyle name="Neutral 73" xfId="891" xr:uid="{00000000-0005-0000-0000-00009C030000}"/>
    <cellStyle name="Neutral 74" xfId="892" xr:uid="{00000000-0005-0000-0000-00009D030000}"/>
    <cellStyle name="Neutral 75" xfId="893" xr:uid="{00000000-0005-0000-0000-00009E030000}"/>
    <cellStyle name="Neutral 76" xfId="894" xr:uid="{00000000-0005-0000-0000-00009F030000}"/>
    <cellStyle name="Neutral 77" xfId="895" xr:uid="{00000000-0005-0000-0000-0000A0030000}"/>
    <cellStyle name="Neutral 78" xfId="896" xr:uid="{00000000-0005-0000-0000-0000A1030000}"/>
    <cellStyle name="Neutral 79" xfId="897" xr:uid="{00000000-0005-0000-0000-0000A2030000}"/>
    <cellStyle name="Neutral 8" xfId="898" xr:uid="{00000000-0005-0000-0000-0000A3030000}"/>
    <cellStyle name="Neutral 80" xfId="899" xr:uid="{00000000-0005-0000-0000-0000A4030000}"/>
    <cellStyle name="Neutral 81" xfId="900" xr:uid="{00000000-0005-0000-0000-0000A5030000}"/>
    <cellStyle name="Neutral 82" xfId="901" xr:uid="{00000000-0005-0000-0000-0000A6030000}"/>
    <cellStyle name="Neutral 83" xfId="902" xr:uid="{00000000-0005-0000-0000-0000A7030000}"/>
    <cellStyle name="Neutral 84" xfId="903" xr:uid="{00000000-0005-0000-0000-0000A8030000}"/>
    <cellStyle name="Neutral 85" xfId="904" xr:uid="{00000000-0005-0000-0000-0000A9030000}"/>
    <cellStyle name="Neutral 86" xfId="905" xr:uid="{00000000-0005-0000-0000-0000AA030000}"/>
    <cellStyle name="Neutral 87" xfId="906" xr:uid="{00000000-0005-0000-0000-0000AB030000}"/>
    <cellStyle name="Neutral 88" xfId="907" xr:uid="{00000000-0005-0000-0000-0000AC030000}"/>
    <cellStyle name="Neutral 89" xfId="908" xr:uid="{00000000-0005-0000-0000-0000AD030000}"/>
    <cellStyle name="Neutral 9" xfId="909" xr:uid="{00000000-0005-0000-0000-0000AE030000}"/>
    <cellStyle name="Neutral 90" xfId="910" xr:uid="{00000000-0005-0000-0000-0000AF030000}"/>
    <cellStyle name="Neutral 91" xfId="911" xr:uid="{00000000-0005-0000-0000-0000B0030000}"/>
    <cellStyle name="Neutral 92" xfId="912" xr:uid="{00000000-0005-0000-0000-0000B1030000}"/>
    <cellStyle name="Neutral 93" xfId="913" xr:uid="{00000000-0005-0000-0000-0000B2030000}"/>
    <cellStyle name="Neutral 94" xfId="914" xr:uid="{00000000-0005-0000-0000-0000B3030000}"/>
    <cellStyle name="Neutral 95" xfId="915" xr:uid="{00000000-0005-0000-0000-0000B4030000}"/>
    <cellStyle name="Neutral 96" xfId="916" xr:uid="{00000000-0005-0000-0000-0000B5030000}"/>
    <cellStyle name="Neutral 97" xfId="917" xr:uid="{00000000-0005-0000-0000-0000B6030000}"/>
    <cellStyle name="Neutral 98" xfId="918" xr:uid="{00000000-0005-0000-0000-0000B7030000}"/>
    <cellStyle name="Neutral 99" xfId="919" xr:uid="{00000000-0005-0000-0000-0000B8030000}"/>
    <cellStyle name="Normal" xfId="0" builtinId="0"/>
    <cellStyle name="Normal 2" xfId="5" xr:uid="{00000000-0005-0000-0000-000026000000}"/>
    <cellStyle name="Normal 2 2" xfId="70" xr:uid="{00000000-0005-0000-0000-000067000000}"/>
    <cellStyle name="Normal 3" xfId="2" xr:uid="{00000000-0005-0000-0000-000023000000}"/>
    <cellStyle name="Normal 4" xfId="4" xr:uid="{00000000-0005-0000-0000-000025000000}"/>
    <cellStyle name="Normal 5" xfId="89" xr:uid="{00000000-0005-0000-0000-00007A000000}"/>
    <cellStyle name="Normal_Sheet3" xfId="1232" xr:uid="{00000000-0005-0000-0000-0000F1040000}"/>
    <cellStyle name="Normal_Sheet4" xfId="1234" xr:uid="{00000000-0005-0000-0000-0000F3040000}"/>
    <cellStyle name="Normal_TH12002" xfId="1235" xr:uid="{00000000-0005-0000-0000-0000F4040000}"/>
    <cellStyle name="Normal_المعدلات" xfId="3" xr:uid="{00000000-0005-0000-0000-000024000000}"/>
    <cellStyle name="Note 2" xfId="49" xr:uid="{00000000-0005-0000-0000-000052000000}"/>
    <cellStyle name="Note 3" xfId="109" xr:uid="{00000000-0005-0000-0000-00008E000000}"/>
    <cellStyle name="Note 3 2" xfId="1208" xr:uid="{00000000-0005-0000-0000-0000D9040000}"/>
    <cellStyle name="Note 4" xfId="1209" xr:uid="{00000000-0005-0000-0000-0000DA040000}"/>
    <cellStyle name="Note 5" xfId="1210" xr:uid="{00000000-0005-0000-0000-0000DB040000}"/>
    <cellStyle name="Note 6" xfId="1211" xr:uid="{00000000-0005-0000-0000-0000DC040000}"/>
    <cellStyle name="Note 7" xfId="1212" xr:uid="{00000000-0005-0000-0000-0000DD040000}"/>
    <cellStyle name="Output 2" xfId="50" xr:uid="{00000000-0005-0000-0000-000053000000}"/>
    <cellStyle name="Output 3" xfId="110" xr:uid="{00000000-0005-0000-0000-00008F000000}"/>
    <cellStyle name="Output 3 2" xfId="1213" xr:uid="{00000000-0005-0000-0000-0000DE040000}"/>
    <cellStyle name="Output 4" xfId="1214" xr:uid="{00000000-0005-0000-0000-0000DF040000}"/>
    <cellStyle name="Output 5" xfId="1215" xr:uid="{00000000-0005-0000-0000-0000E0040000}"/>
    <cellStyle name="Output 6" xfId="1216" xr:uid="{00000000-0005-0000-0000-0000E1040000}"/>
    <cellStyle name="Output 7" xfId="1217" xr:uid="{00000000-0005-0000-0000-0000E2040000}"/>
    <cellStyle name="Percent 2" xfId="111" xr:uid="{00000000-0005-0000-0000-000090000000}"/>
    <cellStyle name="Style 1" xfId="1236" xr:uid="{00000000-0005-0000-0000-0000F5040000}"/>
    <cellStyle name="Title 10" xfId="920" xr:uid="{00000000-0005-0000-0000-0000B9030000}"/>
    <cellStyle name="Title 100" xfId="921" xr:uid="{00000000-0005-0000-0000-0000BA030000}"/>
    <cellStyle name="Title 101" xfId="922" xr:uid="{00000000-0005-0000-0000-0000BB030000}"/>
    <cellStyle name="Title 102" xfId="923" xr:uid="{00000000-0005-0000-0000-0000BC030000}"/>
    <cellStyle name="Title 103" xfId="924" xr:uid="{00000000-0005-0000-0000-0000BD030000}"/>
    <cellStyle name="Title 104" xfId="925" xr:uid="{00000000-0005-0000-0000-0000BE030000}"/>
    <cellStyle name="Title 105" xfId="926" xr:uid="{00000000-0005-0000-0000-0000BF030000}"/>
    <cellStyle name="Title 106" xfId="927" xr:uid="{00000000-0005-0000-0000-0000C0030000}"/>
    <cellStyle name="Title 107" xfId="928" xr:uid="{00000000-0005-0000-0000-0000C1030000}"/>
    <cellStyle name="Title 108" xfId="929" xr:uid="{00000000-0005-0000-0000-0000C2030000}"/>
    <cellStyle name="Title 109" xfId="930" xr:uid="{00000000-0005-0000-0000-0000C3030000}"/>
    <cellStyle name="Title 11" xfId="931" xr:uid="{00000000-0005-0000-0000-0000C4030000}"/>
    <cellStyle name="Title 110" xfId="932" xr:uid="{00000000-0005-0000-0000-0000C5030000}"/>
    <cellStyle name="Title 111" xfId="933" xr:uid="{00000000-0005-0000-0000-0000C6030000}"/>
    <cellStyle name="Title 112" xfId="934" xr:uid="{00000000-0005-0000-0000-0000C7030000}"/>
    <cellStyle name="Title 113" xfId="935" xr:uid="{00000000-0005-0000-0000-0000C8030000}"/>
    <cellStyle name="Title 114" xfId="936" xr:uid="{00000000-0005-0000-0000-0000C9030000}"/>
    <cellStyle name="Title 115" xfId="937" xr:uid="{00000000-0005-0000-0000-0000CA030000}"/>
    <cellStyle name="Title 116" xfId="938" xr:uid="{00000000-0005-0000-0000-0000CB030000}"/>
    <cellStyle name="Title 117" xfId="939" xr:uid="{00000000-0005-0000-0000-0000CC030000}"/>
    <cellStyle name="Title 12" xfId="940" xr:uid="{00000000-0005-0000-0000-0000CD030000}"/>
    <cellStyle name="Title 13" xfId="941" xr:uid="{00000000-0005-0000-0000-0000CE030000}"/>
    <cellStyle name="Title 14" xfId="942" xr:uid="{00000000-0005-0000-0000-0000CF030000}"/>
    <cellStyle name="Title 15" xfId="943" xr:uid="{00000000-0005-0000-0000-0000D0030000}"/>
    <cellStyle name="Title 16" xfId="944" xr:uid="{00000000-0005-0000-0000-0000D1030000}"/>
    <cellStyle name="Title 17" xfId="945" xr:uid="{00000000-0005-0000-0000-0000D2030000}"/>
    <cellStyle name="Title 18" xfId="946" xr:uid="{00000000-0005-0000-0000-0000D3030000}"/>
    <cellStyle name="Title 19" xfId="947" xr:uid="{00000000-0005-0000-0000-0000D4030000}"/>
    <cellStyle name="Title 2" xfId="52" xr:uid="{00000000-0005-0000-0000-000055000000}"/>
    <cellStyle name="Title 2 2" xfId="948" xr:uid="{00000000-0005-0000-0000-0000D5030000}"/>
    <cellStyle name="Title 20" xfId="949" xr:uid="{00000000-0005-0000-0000-0000D6030000}"/>
    <cellStyle name="Title 21" xfId="950" xr:uid="{00000000-0005-0000-0000-0000D7030000}"/>
    <cellStyle name="Title 22" xfId="951" xr:uid="{00000000-0005-0000-0000-0000D8030000}"/>
    <cellStyle name="Title 23" xfId="952" xr:uid="{00000000-0005-0000-0000-0000D9030000}"/>
    <cellStyle name="Title 24" xfId="953" xr:uid="{00000000-0005-0000-0000-0000DA030000}"/>
    <cellStyle name="Title 25" xfId="954" xr:uid="{00000000-0005-0000-0000-0000DB030000}"/>
    <cellStyle name="Title 26" xfId="955" xr:uid="{00000000-0005-0000-0000-0000DC030000}"/>
    <cellStyle name="Title 27" xfId="956" xr:uid="{00000000-0005-0000-0000-0000DD030000}"/>
    <cellStyle name="Title 28" xfId="957" xr:uid="{00000000-0005-0000-0000-0000DE030000}"/>
    <cellStyle name="Title 29" xfId="958" xr:uid="{00000000-0005-0000-0000-0000DF030000}"/>
    <cellStyle name="Title 3" xfId="51" xr:uid="{00000000-0005-0000-0000-000054000000}"/>
    <cellStyle name="Title 3 2" xfId="959" xr:uid="{00000000-0005-0000-0000-0000E0030000}"/>
    <cellStyle name="Title 30" xfId="960" xr:uid="{00000000-0005-0000-0000-0000E1030000}"/>
    <cellStyle name="Title 31" xfId="961" xr:uid="{00000000-0005-0000-0000-0000E2030000}"/>
    <cellStyle name="Title 32" xfId="962" xr:uid="{00000000-0005-0000-0000-0000E3030000}"/>
    <cellStyle name="Title 33" xfId="963" xr:uid="{00000000-0005-0000-0000-0000E4030000}"/>
    <cellStyle name="Title 34" xfId="964" xr:uid="{00000000-0005-0000-0000-0000E5030000}"/>
    <cellStyle name="Title 35" xfId="965" xr:uid="{00000000-0005-0000-0000-0000E6030000}"/>
    <cellStyle name="Title 36" xfId="966" xr:uid="{00000000-0005-0000-0000-0000E7030000}"/>
    <cellStyle name="Title 37" xfId="967" xr:uid="{00000000-0005-0000-0000-0000E8030000}"/>
    <cellStyle name="Title 38" xfId="968" xr:uid="{00000000-0005-0000-0000-0000E9030000}"/>
    <cellStyle name="Title 39" xfId="969" xr:uid="{00000000-0005-0000-0000-0000EA030000}"/>
    <cellStyle name="Title 4" xfId="55" xr:uid="{00000000-0005-0000-0000-000058000000}"/>
    <cellStyle name="Title 4 2" xfId="1218" xr:uid="{00000000-0005-0000-0000-0000E3040000}"/>
    <cellStyle name="Title 40" xfId="970" xr:uid="{00000000-0005-0000-0000-0000EB030000}"/>
    <cellStyle name="Title 41" xfId="971" xr:uid="{00000000-0005-0000-0000-0000EC030000}"/>
    <cellStyle name="Title 42" xfId="972" xr:uid="{00000000-0005-0000-0000-0000ED030000}"/>
    <cellStyle name="Title 43" xfId="973" xr:uid="{00000000-0005-0000-0000-0000EE030000}"/>
    <cellStyle name="Title 44" xfId="974" xr:uid="{00000000-0005-0000-0000-0000EF030000}"/>
    <cellStyle name="Title 45" xfId="975" xr:uid="{00000000-0005-0000-0000-0000F0030000}"/>
    <cellStyle name="Title 46" xfId="976" xr:uid="{00000000-0005-0000-0000-0000F1030000}"/>
    <cellStyle name="Title 47" xfId="977" xr:uid="{00000000-0005-0000-0000-0000F2030000}"/>
    <cellStyle name="Title 48" xfId="978" xr:uid="{00000000-0005-0000-0000-0000F3030000}"/>
    <cellStyle name="Title 49" xfId="979" xr:uid="{00000000-0005-0000-0000-0000F4030000}"/>
    <cellStyle name="Title 5" xfId="71" xr:uid="{00000000-0005-0000-0000-000068000000}"/>
    <cellStyle name="Title 5 2" xfId="980" xr:uid="{00000000-0005-0000-0000-0000F5030000}"/>
    <cellStyle name="Title 5 3" xfId="1219" xr:uid="{00000000-0005-0000-0000-0000E4040000}"/>
    <cellStyle name="Title 50" xfId="981" xr:uid="{00000000-0005-0000-0000-0000F6030000}"/>
    <cellStyle name="Title 51" xfId="982" xr:uid="{00000000-0005-0000-0000-0000F7030000}"/>
    <cellStyle name="Title 52" xfId="983" xr:uid="{00000000-0005-0000-0000-0000F8030000}"/>
    <cellStyle name="Title 53" xfId="984" xr:uid="{00000000-0005-0000-0000-0000F9030000}"/>
    <cellStyle name="Title 54" xfId="985" xr:uid="{00000000-0005-0000-0000-0000FA030000}"/>
    <cellStyle name="Title 55" xfId="986" xr:uid="{00000000-0005-0000-0000-0000FB030000}"/>
    <cellStyle name="Title 56" xfId="987" xr:uid="{00000000-0005-0000-0000-0000FC030000}"/>
    <cellStyle name="Title 57" xfId="988" xr:uid="{00000000-0005-0000-0000-0000FD030000}"/>
    <cellStyle name="Title 58" xfId="989" xr:uid="{00000000-0005-0000-0000-0000FE030000}"/>
    <cellStyle name="Title 59" xfId="990" xr:uid="{00000000-0005-0000-0000-0000FF030000}"/>
    <cellStyle name="Title 6" xfId="112" xr:uid="{00000000-0005-0000-0000-000091000000}"/>
    <cellStyle name="Title 6 2" xfId="991" xr:uid="{00000000-0005-0000-0000-000000040000}"/>
    <cellStyle name="Title 6 3" xfId="1220" xr:uid="{00000000-0005-0000-0000-0000E5040000}"/>
    <cellStyle name="Title 60" xfId="992" xr:uid="{00000000-0005-0000-0000-000001040000}"/>
    <cellStyle name="Title 61" xfId="993" xr:uid="{00000000-0005-0000-0000-000002040000}"/>
    <cellStyle name="Title 62" xfId="994" xr:uid="{00000000-0005-0000-0000-000003040000}"/>
    <cellStyle name="Title 63" xfId="995" xr:uid="{00000000-0005-0000-0000-000004040000}"/>
    <cellStyle name="Title 64" xfId="996" xr:uid="{00000000-0005-0000-0000-000005040000}"/>
    <cellStyle name="Title 65" xfId="997" xr:uid="{00000000-0005-0000-0000-000006040000}"/>
    <cellStyle name="Title 66" xfId="998" xr:uid="{00000000-0005-0000-0000-000007040000}"/>
    <cellStyle name="Title 67" xfId="999" xr:uid="{00000000-0005-0000-0000-000008040000}"/>
    <cellStyle name="Title 68" xfId="1000" xr:uid="{00000000-0005-0000-0000-000009040000}"/>
    <cellStyle name="Title 69" xfId="1001" xr:uid="{00000000-0005-0000-0000-00000A040000}"/>
    <cellStyle name="Title 7" xfId="1002" xr:uid="{00000000-0005-0000-0000-00000B040000}"/>
    <cellStyle name="Title 7 2" xfId="1221" xr:uid="{00000000-0005-0000-0000-0000E6040000}"/>
    <cellStyle name="Title 70" xfId="1003" xr:uid="{00000000-0005-0000-0000-00000C040000}"/>
    <cellStyle name="Title 71" xfId="1004" xr:uid="{00000000-0005-0000-0000-00000D040000}"/>
    <cellStyle name="Title 72" xfId="1005" xr:uid="{00000000-0005-0000-0000-00000E040000}"/>
    <cellStyle name="Title 73" xfId="1006" xr:uid="{00000000-0005-0000-0000-00000F040000}"/>
    <cellStyle name="Title 74" xfId="1007" xr:uid="{00000000-0005-0000-0000-000010040000}"/>
    <cellStyle name="Title 75" xfId="1008" xr:uid="{00000000-0005-0000-0000-000011040000}"/>
    <cellStyle name="Title 76" xfId="1009" xr:uid="{00000000-0005-0000-0000-000012040000}"/>
    <cellStyle name="Title 77" xfId="1010" xr:uid="{00000000-0005-0000-0000-000013040000}"/>
    <cellStyle name="Title 78" xfId="1011" xr:uid="{00000000-0005-0000-0000-000014040000}"/>
    <cellStyle name="Title 79" xfId="1012" xr:uid="{00000000-0005-0000-0000-000015040000}"/>
    <cellStyle name="Title 8" xfId="1013" xr:uid="{00000000-0005-0000-0000-000016040000}"/>
    <cellStyle name="Title 80" xfId="1014" xr:uid="{00000000-0005-0000-0000-000017040000}"/>
    <cellStyle name="Title 81" xfId="1015" xr:uid="{00000000-0005-0000-0000-000018040000}"/>
    <cellStyle name="Title 82" xfId="1016" xr:uid="{00000000-0005-0000-0000-000019040000}"/>
    <cellStyle name="Title 83" xfId="1017" xr:uid="{00000000-0005-0000-0000-00001A040000}"/>
    <cellStyle name="Title 84" xfId="1018" xr:uid="{00000000-0005-0000-0000-00001B040000}"/>
    <cellStyle name="Title 85" xfId="1019" xr:uid="{00000000-0005-0000-0000-00001C040000}"/>
    <cellStyle name="Title 86" xfId="1020" xr:uid="{00000000-0005-0000-0000-00001D040000}"/>
    <cellStyle name="Title 87" xfId="1021" xr:uid="{00000000-0005-0000-0000-00001E040000}"/>
    <cellStyle name="Title 88" xfId="1022" xr:uid="{00000000-0005-0000-0000-00001F040000}"/>
    <cellStyle name="Title 89" xfId="1023" xr:uid="{00000000-0005-0000-0000-000020040000}"/>
    <cellStyle name="Title 9" xfId="1024" xr:uid="{00000000-0005-0000-0000-000021040000}"/>
    <cellStyle name="Title 90" xfId="1025" xr:uid="{00000000-0005-0000-0000-000022040000}"/>
    <cellStyle name="Title 91" xfId="1026" xr:uid="{00000000-0005-0000-0000-000023040000}"/>
    <cellStyle name="Title 92" xfId="1027" xr:uid="{00000000-0005-0000-0000-000024040000}"/>
    <cellStyle name="Title 93" xfId="1028" xr:uid="{00000000-0005-0000-0000-000025040000}"/>
    <cellStyle name="Title 94" xfId="1029" xr:uid="{00000000-0005-0000-0000-000026040000}"/>
    <cellStyle name="Title 95" xfId="1030" xr:uid="{00000000-0005-0000-0000-000027040000}"/>
    <cellStyle name="Title 96" xfId="1031" xr:uid="{00000000-0005-0000-0000-000028040000}"/>
    <cellStyle name="Title 97" xfId="1032" xr:uid="{00000000-0005-0000-0000-000029040000}"/>
    <cellStyle name="Title 98" xfId="1033" xr:uid="{00000000-0005-0000-0000-00002A040000}"/>
    <cellStyle name="Title 99" xfId="1034" xr:uid="{00000000-0005-0000-0000-00002B040000}"/>
    <cellStyle name="Total 2" xfId="53" xr:uid="{00000000-0005-0000-0000-000056000000}"/>
    <cellStyle name="Total 3" xfId="113" xr:uid="{00000000-0005-0000-0000-000092000000}"/>
    <cellStyle name="Total 3 2" xfId="1222" xr:uid="{00000000-0005-0000-0000-0000E7040000}"/>
    <cellStyle name="Total 4" xfId="1223" xr:uid="{00000000-0005-0000-0000-0000E8040000}"/>
    <cellStyle name="Total 5" xfId="1224" xr:uid="{00000000-0005-0000-0000-0000E9040000}"/>
    <cellStyle name="Total 6" xfId="1225" xr:uid="{00000000-0005-0000-0000-0000EA040000}"/>
    <cellStyle name="Total 7" xfId="1226" xr:uid="{00000000-0005-0000-0000-0000EB040000}"/>
    <cellStyle name="Warning Text 2" xfId="54" xr:uid="{00000000-0005-0000-0000-000057000000}"/>
    <cellStyle name="Warning Text 3" xfId="114" xr:uid="{00000000-0005-0000-0000-000093000000}"/>
    <cellStyle name="Warning Text 3 2" xfId="1227" xr:uid="{00000000-0005-0000-0000-0000EC040000}"/>
    <cellStyle name="Warning Text 4" xfId="1228" xr:uid="{00000000-0005-0000-0000-0000ED040000}"/>
    <cellStyle name="Warning Text 5" xfId="1229" xr:uid="{00000000-0005-0000-0000-0000EE040000}"/>
    <cellStyle name="Warning Text 6" xfId="1230" xr:uid="{00000000-0005-0000-0000-0000EF040000}"/>
    <cellStyle name="Warning Text 7" xfId="1231" xr:uid="{00000000-0005-0000-0000-0000F0040000}"/>
  </cellStyles>
  <dxfs count="0"/>
  <tableStyles count="0" defaultTableStyle="TableStyleMedium2" defaultPivotStyle="PivotStyleLight16"/>
  <colors>
    <mruColors>
      <color rgb="FF1F25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capmas.gov.e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194733</xdr:colOff>
      <xdr:row>1</xdr:row>
      <xdr:rowOff>42334</xdr:rowOff>
    </xdr:from>
    <xdr:to>
      <xdr:col>6</xdr:col>
      <xdr:colOff>310726</xdr:colOff>
      <xdr:row>7</xdr:row>
      <xdr:rowOff>68830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F0C760-3EEF-49E4-9992-8C0F5B2CF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5807" y="237067"/>
          <a:ext cx="4205393" cy="1194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capmas.gov.eg/" TargetMode="External"/><Relationship Id="rId1" Type="http://schemas.openxmlformats.org/officeDocument/2006/relationships/hyperlink" Target="http://www.capmas.gov.e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2"/>
  <sheetViews>
    <sheetView showGridLines="0" rightToLeft="1" tabSelected="1" zoomScale="90" zoomScaleNormal="90" workbookViewId="0">
      <selection activeCell="D26" sqref="D26"/>
    </sheetView>
  </sheetViews>
  <sheetFormatPr defaultColWidth="8.85546875" defaultRowHeight="16.5"/>
  <cols>
    <col min="1" max="1" width="8.85546875" style="7" customWidth="1"/>
    <col min="2" max="2" width="3.42578125" style="7" customWidth="1"/>
    <col min="3" max="3" width="42.5703125" style="7" customWidth="1"/>
    <col min="4" max="4" width="7.28515625" style="7" customWidth="1"/>
    <col min="5" max="5" width="4.28515625" style="7" customWidth="1"/>
    <col min="6" max="6" width="5.5703125" style="7" customWidth="1"/>
    <col min="7" max="7" width="5.28515625" style="7" customWidth="1"/>
    <col min="8" max="8" width="8.28515625" style="7" customWidth="1"/>
    <col min="9" max="9" width="45.28515625" style="7" customWidth="1"/>
    <col min="10" max="10" width="6" style="7" customWidth="1"/>
    <col min="11" max="11" width="8.85546875" style="7" customWidth="1"/>
    <col min="12" max="12" width="3.85546875" style="7" customWidth="1"/>
    <col min="13" max="18" width="8.85546875" style="7" customWidth="1"/>
    <col min="19" max="19" width="3.85546875" style="7" customWidth="1"/>
    <col min="20" max="20" width="8.85546875" style="7" customWidth="1"/>
    <col min="21" max="16384" width="8.85546875" style="7"/>
  </cols>
  <sheetData>
    <row r="2" spans="2:19" ht="18">
      <c r="L2" s="124"/>
      <c r="M2" s="125" t="s">
        <v>0</v>
      </c>
      <c r="N2" s="126"/>
      <c r="O2" s="124"/>
      <c r="P2" s="124"/>
      <c r="Q2" s="124"/>
      <c r="R2" s="124"/>
      <c r="S2" s="124"/>
    </row>
    <row r="3" spans="2:19">
      <c r="L3" s="124"/>
      <c r="M3" s="124" t="s">
        <v>1</v>
      </c>
      <c r="N3" s="126"/>
      <c r="O3" s="124"/>
      <c r="P3" s="124"/>
      <c r="Q3" s="124"/>
      <c r="R3" s="124"/>
      <c r="S3" s="124"/>
    </row>
    <row r="4" spans="2:19">
      <c r="L4" s="124"/>
      <c r="M4" s="127" t="s">
        <v>2</v>
      </c>
      <c r="N4" s="126"/>
      <c r="O4" s="124"/>
      <c r="P4" s="124"/>
      <c r="Q4" s="124"/>
      <c r="R4" s="124"/>
      <c r="S4" s="124"/>
    </row>
    <row r="5" spans="2:19" ht="18">
      <c r="L5" s="124"/>
      <c r="M5" s="124"/>
      <c r="N5" s="124"/>
      <c r="O5" s="124"/>
      <c r="P5" s="124"/>
      <c r="Q5" s="126"/>
      <c r="R5" s="128" t="s">
        <v>3</v>
      </c>
      <c r="S5" s="124"/>
    </row>
    <row r="6" spans="2:19">
      <c r="L6" s="124"/>
      <c r="M6" s="124"/>
      <c r="N6" s="124"/>
      <c r="O6" s="124"/>
      <c r="P6" s="124"/>
      <c r="Q6" s="126"/>
      <c r="R6" s="124" t="s">
        <v>4</v>
      </c>
      <c r="S6" s="124"/>
    </row>
    <row r="7" spans="2:19">
      <c r="L7" s="124"/>
      <c r="M7" s="124"/>
      <c r="N7" s="124"/>
      <c r="O7" s="124"/>
      <c r="P7" s="124"/>
      <c r="Q7" s="126"/>
      <c r="R7" s="129" t="s">
        <v>2</v>
      </c>
      <c r="S7" s="124"/>
    </row>
    <row r="10" spans="2:19" ht="16.5" customHeight="1" thickBot="1"/>
    <row r="11" spans="2:19">
      <c r="B11" s="130"/>
      <c r="C11" s="131"/>
      <c r="D11" s="131"/>
      <c r="E11" s="131"/>
      <c r="F11" s="131"/>
      <c r="G11" s="131"/>
      <c r="H11" s="131"/>
      <c r="I11" s="131"/>
      <c r="J11" s="132"/>
      <c r="L11" s="130"/>
      <c r="M11" s="131"/>
      <c r="N11" s="131"/>
      <c r="O11" s="131"/>
      <c r="P11" s="131"/>
      <c r="Q11" s="131"/>
      <c r="R11" s="131"/>
      <c r="S11" s="132"/>
    </row>
    <row r="12" spans="2:19">
      <c r="B12" s="133"/>
      <c r="C12" s="134" t="s">
        <v>5</v>
      </c>
      <c r="D12" s="134"/>
      <c r="E12" s="134"/>
      <c r="F12" s="134"/>
      <c r="G12" s="134"/>
      <c r="H12" s="134"/>
      <c r="I12" s="135" t="s">
        <v>6</v>
      </c>
      <c r="J12" s="136"/>
      <c r="L12" s="133"/>
      <c r="M12" s="342" t="s">
        <v>7</v>
      </c>
      <c r="N12" s="343"/>
      <c r="O12" s="343"/>
      <c r="P12" s="343"/>
      <c r="Q12" s="343"/>
      <c r="R12" s="343"/>
      <c r="S12" s="137"/>
    </row>
    <row r="13" spans="2:19" ht="18">
      <c r="B13" s="133"/>
      <c r="C13" s="161" t="s">
        <v>415</v>
      </c>
      <c r="D13" s="138"/>
      <c r="E13" s="138"/>
      <c r="F13" s="138"/>
      <c r="G13" s="138"/>
      <c r="H13" s="138"/>
      <c r="I13" s="162" t="s">
        <v>416</v>
      </c>
      <c r="J13" s="139"/>
      <c r="L13" s="133"/>
      <c r="M13" s="343"/>
      <c r="N13" s="343"/>
      <c r="O13" s="343"/>
      <c r="P13" s="343"/>
      <c r="Q13" s="343"/>
      <c r="R13" s="343"/>
      <c r="S13" s="137"/>
    </row>
    <row r="14" spans="2:19">
      <c r="B14" s="133"/>
      <c r="C14" s="134" t="s">
        <v>8</v>
      </c>
      <c r="D14" s="134"/>
      <c r="E14" s="134"/>
      <c r="F14" s="134"/>
      <c r="G14" s="134"/>
      <c r="H14" s="134"/>
      <c r="I14" s="135" t="s">
        <v>9</v>
      </c>
      <c r="J14" s="136"/>
      <c r="L14" s="140"/>
      <c r="M14" s="344" t="s">
        <v>10</v>
      </c>
      <c r="N14" s="343"/>
      <c r="O14" s="343"/>
      <c r="P14" s="343"/>
      <c r="Q14" s="343"/>
      <c r="R14" s="343"/>
      <c r="S14" s="137"/>
    </row>
    <row r="15" spans="2:19" ht="18">
      <c r="B15" s="133"/>
      <c r="C15" s="141" t="s">
        <v>11</v>
      </c>
      <c r="D15" s="8"/>
      <c r="E15" s="8"/>
      <c r="F15" s="8"/>
      <c r="G15" s="8"/>
      <c r="H15" s="8"/>
      <c r="I15" s="142" t="s">
        <v>12</v>
      </c>
      <c r="J15" s="139"/>
      <c r="L15" s="133"/>
      <c r="M15" s="343"/>
      <c r="N15" s="343"/>
      <c r="O15" s="343"/>
      <c r="P15" s="343"/>
      <c r="Q15" s="343"/>
      <c r="R15" s="343"/>
      <c r="S15" s="137"/>
    </row>
    <row r="16" spans="2:19" ht="16.149999999999999" customHeight="1" thickBot="1">
      <c r="B16" s="133"/>
      <c r="C16" s="134" t="s">
        <v>13</v>
      </c>
      <c r="D16" s="134"/>
      <c r="E16" s="134"/>
      <c r="F16" s="134"/>
      <c r="G16" s="134"/>
      <c r="H16" s="134"/>
      <c r="I16" s="135" t="s">
        <v>14</v>
      </c>
      <c r="J16" s="136"/>
      <c r="L16" s="143"/>
      <c r="M16" s="144"/>
      <c r="N16" s="144"/>
      <c r="O16" s="144"/>
      <c r="P16" s="144"/>
      <c r="Q16" s="144"/>
      <c r="R16" s="144"/>
      <c r="S16" s="145"/>
    </row>
    <row r="17" spans="2:10" ht="18">
      <c r="B17" s="133"/>
      <c r="C17" s="141" t="s">
        <v>15</v>
      </c>
      <c r="D17" s="8"/>
      <c r="E17" s="8"/>
      <c r="F17" s="8"/>
      <c r="G17" s="8"/>
      <c r="H17" s="8"/>
      <c r="I17" s="142" t="s">
        <v>414</v>
      </c>
      <c r="J17" s="139"/>
    </row>
    <row r="18" spans="2:10">
      <c r="B18" s="133"/>
      <c r="C18" s="134" t="s">
        <v>16</v>
      </c>
      <c r="D18" s="134"/>
      <c r="E18" s="134"/>
      <c r="F18" s="134"/>
      <c r="G18" s="134"/>
      <c r="H18" s="134"/>
      <c r="I18" s="135" t="s">
        <v>17</v>
      </c>
      <c r="J18" s="136"/>
    </row>
    <row r="19" spans="2:10" ht="18">
      <c r="B19" s="133"/>
      <c r="C19" s="146" t="s">
        <v>430</v>
      </c>
      <c r="D19" s="8"/>
      <c r="E19" s="8"/>
      <c r="F19" s="8"/>
      <c r="G19" s="8"/>
      <c r="H19" s="8"/>
      <c r="I19" s="147" t="s">
        <v>431</v>
      </c>
      <c r="J19" s="148"/>
    </row>
    <row r="20" spans="2:10">
      <c r="B20" s="133"/>
      <c r="C20" s="149" t="s">
        <v>18</v>
      </c>
      <c r="D20" s="134"/>
      <c r="E20" s="134"/>
      <c r="F20" s="134"/>
      <c r="G20" s="134"/>
      <c r="H20" s="134"/>
      <c r="I20" s="150" t="s">
        <v>19</v>
      </c>
      <c r="J20" s="136"/>
    </row>
    <row r="21" spans="2:10" ht="18">
      <c r="B21" s="133"/>
      <c r="C21" s="141">
        <v>2024</v>
      </c>
      <c r="D21" s="8"/>
      <c r="E21" s="8"/>
      <c r="F21" s="8"/>
      <c r="G21" s="8"/>
      <c r="H21" s="8"/>
      <c r="I21" s="142">
        <v>2024</v>
      </c>
      <c r="J21" s="151"/>
    </row>
    <row r="22" spans="2:10" ht="16.149999999999999" customHeight="1" thickBot="1">
      <c r="B22" s="143"/>
      <c r="C22" s="144"/>
      <c r="D22" s="144"/>
      <c r="E22" s="144"/>
      <c r="F22" s="144"/>
      <c r="G22" s="144"/>
      <c r="H22" s="144"/>
      <c r="I22" s="144"/>
      <c r="J22" s="145"/>
    </row>
  </sheetData>
  <mergeCells count="2">
    <mergeCell ref="M12:R13"/>
    <mergeCell ref="M14:R15"/>
  </mergeCells>
  <hyperlinks>
    <hyperlink ref="M4" r:id="rId1" xr:uid="{00000000-0004-0000-0000-000000000000}"/>
    <hyperlink ref="R7" r:id="rId2" xr:uid="{00000000-0004-0000-0000-000001000000}"/>
  </hyperlinks>
  <pageMargins left="0.7" right="0.7" top="0.75" bottom="0.75" header="0.3" footer="0.3"/>
  <pageSetup paperSize="0" orientation="portrait" horizontalDpi="0" verticalDpi="0" copie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5"/>
  <sheetViews>
    <sheetView showGridLines="0" rightToLeft="1" workbookViewId="0">
      <selection activeCell="A11" sqref="A11"/>
    </sheetView>
  </sheetViews>
  <sheetFormatPr defaultColWidth="8.85546875" defaultRowHeight="16.5"/>
  <cols>
    <col min="1" max="1" width="8.85546875" style="7" customWidth="1"/>
    <col min="2" max="2" width="13.140625" style="7" customWidth="1"/>
    <col min="3" max="3" width="110.140625" style="7" customWidth="1"/>
    <col min="4" max="4" width="122.7109375" style="7" customWidth="1"/>
    <col min="5" max="5" width="8.85546875" style="7" customWidth="1"/>
    <col min="6" max="16384" width="8.85546875" style="7"/>
  </cols>
  <sheetData>
    <row r="2" spans="2:4" s="185" customFormat="1" ht="18">
      <c r="B2" s="123" t="s">
        <v>20</v>
      </c>
      <c r="C2" s="184" t="s">
        <v>21</v>
      </c>
      <c r="D2" s="184" t="s">
        <v>22</v>
      </c>
    </row>
    <row r="3" spans="2:4">
      <c r="B3" s="183">
        <v>1</v>
      </c>
      <c r="C3" s="341" t="s">
        <v>432</v>
      </c>
      <c r="D3" s="160" t="s">
        <v>462</v>
      </c>
    </row>
    <row r="4" spans="2:4">
      <c r="B4" s="183">
        <v>2</v>
      </c>
      <c r="C4" s="341" t="s">
        <v>433</v>
      </c>
      <c r="D4" s="160" t="s">
        <v>463</v>
      </c>
    </row>
    <row r="5" spans="2:4">
      <c r="B5" s="183">
        <v>3</v>
      </c>
      <c r="C5" s="341" t="s">
        <v>434</v>
      </c>
      <c r="D5" s="160" t="s">
        <v>464</v>
      </c>
    </row>
    <row r="6" spans="2:4">
      <c r="B6" s="183">
        <v>4</v>
      </c>
      <c r="C6" s="341" t="s">
        <v>435</v>
      </c>
      <c r="D6" s="160" t="s">
        <v>436</v>
      </c>
    </row>
    <row r="7" spans="2:4">
      <c r="B7" s="183">
        <v>5</v>
      </c>
      <c r="C7" s="186" t="s">
        <v>449</v>
      </c>
      <c r="D7" s="160" t="s">
        <v>477</v>
      </c>
    </row>
    <row r="8" spans="2:4">
      <c r="B8" s="183">
        <v>6</v>
      </c>
      <c r="C8" s="341" t="s">
        <v>438</v>
      </c>
      <c r="D8" s="160" t="s">
        <v>465</v>
      </c>
    </row>
    <row r="9" spans="2:4">
      <c r="B9" s="183">
        <v>7</v>
      </c>
      <c r="C9" s="186" t="s">
        <v>450</v>
      </c>
      <c r="D9" s="160" t="s">
        <v>478</v>
      </c>
    </row>
    <row r="10" spans="2:4">
      <c r="B10" s="183">
        <v>8</v>
      </c>
      <c r="C10" s="341" t="s">
        <v>439</v>
      </c>
      <c r="D10" s="160" t="s">
        <v>466</v>
      </c>
    </row>
    <row r="11" spans="2:4">
      <c r="B11" s="183">
        <v>9</v>
      </c>
      <c r="C11" s="186" t="s">
        <v>451</v>
      </c>
      <c r="D11" s="160" t="s">
        <v>479</v>
      </c>
    </row>
    <row r="12" spans="2:4">
      <c r="B12" s="183">
        <v>10</v>
      </c>
      <c r="C12" s="341" t="s">
        <v>440</v>
      </c>
      <c r="D12" s="160" t="s">
        <v>467</v>
      </c>
    </row>
    <row r="13" spans="2:4">
      <c r="B13" s="183">
        <v>11</v>
      </c>
      <c r="C13" s="186" t="s">
        <v>452</v>
      </c>
      <c r="D13" s="160" t="s">
        <v>480</v>
      </c>
    </row>
    <row r="14" spans="2:4">
      <c r="B14" s="183">
        <v>12</v>
      </c>
      <c r="C14" s="341" t="s">
        <v>441</v>
      </c>
      <c r="D14" s="160" t="s">
        <v>468</v>
      </c>
    </row>
    <row r="15" spans="2:4">
      <c r="B15" s="183">
        <v>13</v>
      </c>
      <c r="C15" s="186" t="s">
        <v>453</v>
      </c>
      <c r="D15" s="160" t="s">
        <v>481</v>
      </c>
    </row>
    <row r="16" spans="2:4">
      <c r="B16" s="183">
        <v>14</v>
      </c>
      <c r="C16" s="341" t="s">
        <v>437</v>
      </c>
      <c r="D16" s="160" t="s">
        <v>469</v>
      </c>
    </row>
    <row r="17" spans="2:4">
      <c r="B17" s="183">
        <v>15</v>
      </c>
      <c r="C17" s="186" t="s">
        <v>454</v>
      </c>
      <c r="D17" s="160" t="s">
        <v>482</v>
      </c>
    </row>
    <row r="18" spans="2:4">
      <c r="B18" s="183">
        <v>16</v>
      </c>
      <c r="C18" s="341" t="s">
        <v>442</v>
      </c>
      <c r="D18" s="160" t="s">
        <v>470</v>
      </c>
    </row>
    <row r="19" spans="2:4">
      <c r="B19" s="183">
        <v>17</v>
      </c>
      <c r="C19" s="186" t="s">
        <v>455</v>
      </c>
      <c r="D19" s="160" t="s">
        <v>483</v>
      </c>
    </row>
    <row r="20" spans="2:4">
      <c r="B20" s="183">
        <v>18</v>
      </c>
      <c r="C20" s="341" t="s">
        <v>443</v>
      </c>
      <c r="D20" s="160" t="s">
        <v>471</v>
      </c>
    </row>
    <row r="21" spans="2:4">
      <c r="B21" s="183">
        <v>19</v>
      </c>
      <c r="C21" s="186" t="s">
        <v>456</v>
      </c>
      <c r="D21" s="160" t="s">
        <v>484</v>
      </c>
    </row>
    <row r="22" spans="2:4">
      <c r="B22" s="183">
        <v>20</v>
      </c>
      <c r="C22" s="341" t="s">
        <v>444</v>
      </c>
      <c r="D22" s="160" t="s">
        <v>472</v>
      </c>
    </row>
    <row r="23" spans="2:4">
      <c r="B23" s="183">
        <v>21</v>
      </c>
      <c r="C23" s="186" t="s">
        <v>457</v>
      </c>
      <c r="D23" s="160" t="s">
        <v>485</v>
      </c>
    </row>
    <row r="24" spans="2:4">
      <c r="B24" s="183">
        <v>22</v>
      </c>
      <c r="C24" s="341" t="s">
        <v>445</v>
      </c>
      <c r="D24" s="160" t="s">
        <v>473</v>
      </c>
    </row>
    <row r="25" spans="2:4">
      <c r="B25" s="183">
        <v>23</v>
      </c>
      <c r="C25" s="186" t="s">
        <v>419</v>
      </c>
      <c r="D25" s="160" t="s">
        <v>420</v>
      </c>
    </row>
    <row r="26" spans="2:4">
      <c r="B26" s="183">
        <v>24</v>
      </c>
      <c r="C26" s="341" t="s">
        <v>421</v>
      </c>
      <c r="D26" s="160" t="s">
        <v>422</v>
      </c>
    </row>
    <row r="27" spans="2:4">
      <c r="B27" s="183">
        <v>25</v>
      </c>
      <c r="C27" s="186" t="s">
        <v>427</v>
      </c>
      <c r="D27" s="160" t="s">
        <v>428</v>
      </c>
    </row>
    <row r="28" spans="2:4">
      <c r="B28" s="183">
        <v>26</v>
      </c>
      <c r="C28" s="186" t="s">
        <v>458</v>
      </c>
      <c r="D28" s="160" t="s">
        <v>486</v>
      </c>
    </row>
    <row r="29" spans="2:4">
      <c r="B29" s="183">
        <v>27</v>
      </c>
      <c r="C29" s="341" t="s">
        <v>446</v>
      </c>
      <c r="D29" s="160" t="s">
        <v>474</v>
      </c>
    </row>
    <row r="30" spans="2:4">
      <c r="B30" s="183">
        <v>28</v>
      </c>
      <c r="C30" s="341" t="s">
        <v>447</v>
      </c>
      <c r="D30" s="160" t="s">
        <v>475</v>
      </c>
    </row>
    <row r="31" spans="2:4">
      <c r="B31" s="183">
        <v>29</v>
      </c>
      <c r="C31" s="341" t="s">
        <v>448</v>
      </c>
      <c r="D31" s="160" t="s">
        <v>476</v>
      </c>
    </row>
    <row r="32" spans="2:4">
      <c r="B32" s="183">
        <v>30</v>
      </c>
      <c r="C32" s="186" t="s">
        <v>459</v>
      </c>
      <c r="D32" s="160" t="s">
        <v>487</v>
      </c>
    </row>
    <row r="33" spans="2:4">
      <c r="B33" s="183">
        <v>31</v>
      </c>
      <c r="C33" s="186" t="s">
        <v>460</v>
      </c>
      <c r="D33" s="160" t="s">
        <v>488</v>
      </c>
    </row>
    <row r="34" spans="2:4">
      <c r="B34" s="183">
        <v>32</v>
      </c>
      <c r="C34" s="186" t="s">
        <v>461</v>
      </c>
      <c r="D34" s="160" t="s">
        <v>489</v>
      </c>
    </row>
    <row r="35" spans="2:4">
      <c r="B35" s="183">
        <v>33</v>
      </c>
      <c r="C35" s="186" t="s">
        <v>460</v>
      </c>
      <c r="D35" s="160" t="s">
        <v>488</v>
      </c>
    </row>
  </sheetData>
  <hyperlinks>
    <hyperlink ref="B3" location="'جدول 1 Table'!A1" display="جدول 1 Table" xr:uid="{00000000-0004-0000-0100-000000000000}"/>
    <hyperlink ref="C3" location="'جدول 1 Table'!A1" display="جدول 1 Table" xr:uid="{00000000-0004-0000-0100-000001000000}"/>
    <hyperlink ref="D3" location="'جدول 1 Table'!A1" display="جدول 1 Table" xr:uid="{00000000-0004-0000-0100-000002000000}"/>
    <hyperlink ref="B4" location="'جدول 2 Table'!A1" display="جدول 2 Table" xr:uid="{00000000-0004-0000-0100-000003000000}"/>
    <hyperlink ref="C4" location="'جدول 2 Table'!A1" display="جدول 2 Table" xr:uid="{00000000-0004-0000-0100-000004000000}"/>
    <hyperlink ref="D4" location="'جدول 2 Table'!A1" display="جدول 2 Table" xr:uid="{00000000-0004-0000-0100-000005000000}"/>
    <hyperlink ref="B5" location="'جدول 3 Table'!A1" display="جدول 3 Table" xr:uid="{00000000-0004-0000-0100-000006000000}"/>
    <hyperlink ref="C5" location="'جدول 3 Table'!A1" display="جدول 3 Table" xr:uid="{00000000-0004-0000-0100-000007000000}"/>
    <hyperlink ref="D5" location="'جدول 3 Table'!A1" display="جدول 3 Table" xr:uid="{00000000-0004-0000-0100-000008000000}"/>
    <hyperlink ref="B6" location="'جدول 4 Table'!A1" display="جدول 4 Table" xr:uid="{00000000-0004-0000-0100-000009000000}"/>
    <hyperlink ref="C6" location="'جدول 4 Table'!A1" display="جدول 4 Table" xr:uid="{00000000-0004-0000-0100-00000A000000}"/>
    <hyperlink ref="D6" location="'جدول 4 Table'!A1" display="جدول 4 Table" xr:uid="{00000000-0004-0000-0100-00000B000000}"/>
    <hyperlink ref="B7" location="'جدول 5 Table'!A1" display="جدول 5 Table" xr:uid="{00000000-0004-0000-0100-00000C000000}"/>
    <hyperlink ref="C7" location="'جدول 5 Table'!A1" display="جدول 5 Table" xr:uid="{00000000-0004-0000-0100-00000D000000}"/>
    <hyperlink ref="D7" location="'جدول 5 Table'!A1" display="جدول 5 Table" xr:uid="{00000000-0004-0000-0100-00000E000000}"/>
    <hyperlink ref="B8" location="'جدول 6 Table'!A1" display="جدول 6 Table" xr:uid="{00000000-0004-0000-0100-00000F000000}"/>
    <hyperlink ref="C8" location="'جدول 6 Table'!A1" display="جدول 6 Table" xr:uid="{00000000-0004-0000-0100-000010000000}"/>
    <hyperlink ref="D8" location="'جدول 6 Table'!A1" display="جدول 6 Table" xr:uid="{00000000-0004-0000-0100-000011000000}"/>
    <hyperlink ref="B9" location="'جدول 7 Table'!A1" display="جدول 7 Table" xr:uid="{00000000-0004-0000-0100-000012000000}"/>
    <hyperlink ref="C9" location="'جدول 7 Table'!A1" display="جدول 7 Table" xr:uid="{00000000-0004-0000-0100-000013000000}"/>
    <hyperlink ref="D9" location="'جدول 7 Table'!A1" display="جدول 7 Table" xr:uid="{00000000-0004-0000-0100-000014000000}"/>
    <hyperlink ref="B10" location="'جدول 8 Table'!A1" display="جدول 8 Table" xr:uid="{00000000-0004-0000-0100-000015000000}"/>
    <hyperlink ref="C10" location="'جدول 8 Table'!A1" display="جدول 8 Table" xr:uid="{00000000-0004-0000-0100-000016000000}"/>
    <hyperlink ref="D10" location="'جدول 8 Table'!A1" display="جدول 8 Table" xr:uid="{00000000-0004-0000-0100-000017000000}"/>
    <hyperlink ref="B11" location="'جدول 9 Table'!A1" display="جدول 9 Table" xr:uid="{00000000-0004-0000-0100-000018000000}"/>
    <hyperlink ref="C11" location="'جدول 9 Table'!A1" display="جدول 9 Table" xr:uid="{00000000-0004-0000-0100-000019000000}"/>
    <hyperlink ref="D11" location="'جدول 9 Table'!A1" display="جدول 9 Table" xr:uid="{00000000-0004-0000-0100-00001A000000}"/>
    <hyperlink ref="B12" location="'جدول 10 Table'!A1" display="جدول 10 Table" xr:uid="{00000000-0004-0000-0100-00001B000000}"/>
    <hyperlink ref="C12" location="'جدول 10 Table'!A1" display="جدول 10 Table" xr:uid="{00000000-0004-0000-0100-00001C000000}"/>
    <hyperlink ref="D12" location="'جدول 10 Table'!A1" display="جدول 10 Table" xr:uid="{00000000-0004-0000-0100-00001D000000}"/>
    <hyperlink ref="B13" location="'جدول 11 Table'!A1" display="جدول 11 Table" xr:uid="{00000000-0004-0000-0100-00001E000000}"/>
    <hyperlink ref="C13" location="'جدول 11 Table'!A1" display="جدول 11 Table" xr:uid="{00000000-0004-0000-0100-00001F000000}"/>
    <hyperlink ref="D13" location="'جدول 11 Table'!A1" display="جدول 11 Table" xr:uid="{00000000-0004-0000-0100-000020000000}"/>
    <hyperlink ref="B14" location="'جدول 12 Table'!A1" display="جدول 12 Table" xr:uid="{00000000-0004-0000-0100-000021000000}"/>
    <hyperlink ref="C14" location="'جدول 12 Table'!A1" display="جدول 12 Table" xr:uid="{00000000-0004-0000-0100-000022000000}"/>
    <hyperlink ref="D14" location="'جدول 12 Table'!A1" display="جدول 12 Table" xr:uid="{00000000-0004-0000-0100-000023000000}"/>
    <hyperlink ref="B15" location="'جدول 13 Table'!A1" display="جدول 13 Table" xr:uid="{00000000-0004-0000-0100-000024000000}"/>
    <hyperlink ref="C15" location="'جدول 13 Table'!A1" display="جدول 13 Table" xr:uid="{00000000-0004-0000-0100-000025000000}"/>
    <hyperlink ref="D15" location="'جدول 13 Table'!A1" display="جدول 13 Table" xr:uid="{00000000-0004-0000-0100-000026000000}"/>
    <hyperlink ref="B16" location="'جدول 14 Table'!A1" display="جدول 14 Table" xr:uid="{00000000-0004-0000-0100-000027000000}"/>
    <hyperlink ref="C16" location="'جدول 14 Table'!A1" display="جدول 14 Table" xr:uid="{00000000-0004-0000-0100-000028000000}"/>
    <hyperlink ref="D16" location="'جدول 14 Table'!A1" display="جدول 14 Table" xr:uid="{00000000-0004-0000-0100-000029000000}"/>
    <hyperlink ref="B17" location="'جدول 15 Table'!A1" display="جدول 15 Table" xr:uid="{00000000-0004-0000-0100-00002A000000}"/>
    <hyperlink ref="C17" location="'جدول 15 Table'!A1" display="جدول 15 Table" xr:uid="{00000000-0004-0000-0100-00002B000000}"/>
    <hyperlink ref="D17" location="'جدول 15 Table'!A1" display="جدول 15 Table" xr:uid="{00000000-0004-0000-0100-00002C000000}"/>
    <hyperlink ref="B18" location="'جدول 16 Table'!A1" display="جدول 16 Table" xr:uid="{00000000-0004-0000-0100-00002D000000}"/>
    <hyperlink ref="C18" location="'جدول 16 Table'!A1" display="جدول 16 Table" xr:uid="{00000000-0004-0000-0100-00002E000000}"/>
    <hyperlink ref="D18" location="'جدول 16 Table'!A1" display="جدول 16 Table" xr:uid="{00000000-0004-0000-0100-00002F000000}"/>
    <hyperlink ref="B19" location="'جدول 17 Table'!A1" display="جدول 17 Table" xr:uid="{00000000-0004-0000-0100-000030000000}"/>
    <hyperlink ref="C19" location="'جدول 17 Table'!A1" display="جدول 17 Table" xr:uid="{00000000-0004-0000-0100-000031000000}"/>
    <hyperlink ref="D19" location="'جدول 17 Table'!A1" display="جدول 17 Table" xr:uid="{00000000-0004-0000-0100-000032000000}"/>
    <hyperlink ref="B20" location="'جدول 18 Table'!A1" display="جدول 18 Table" xr:uid="{00000000-0004-0000-0100-000033000000}"/>
    <hyperlink ref="C20" location="'جدول 18 Table'!A1" display="جدول 18 Table" xr:uid="{00000000-0004-0000-0100-000034000000}"/>
    <hyperlink ref="D20" location="'جدول 18 Table'!A1" display="جدول 18 Table" xr:uid="{00000000-0004-0000-0100-000035000000}"/>
    <hyperlink ref="B21" location="'جدول 19 Table'!A1" display="جدول 19 Table" xr:uid="{00000000-0004-0000-0100-000036000000}"/>
    <hyperlink ref="C21" location="'جدول 19 Table'!A1" display="جدول 19 Table" xr:uid="{00000000-0004-0000-0100-000037000000}"/>
    <hyperlink ref="D21" location="'جدول 19 Table'!A1" display="جدول 19 Table" xr:uid="{00000000-0004-0000-0100-000038000000}"/>
    <hyperlink ref="B22" location="'جدول 20 Table'!A1" display="جدول 20 Table" xr:uid="{00000000-0004-0000-0100-000039000000}"/>
    <hyperlink ref="C22" location="'جدول 20 Table'!A1" display="جدول 20 Table" xr:uid="{00000000-0004-0000-0100-00003A000000}"/>
    <hyperlink ref="D22" location="'جدول 20 Table'!A1" display="جدول 20 Table" xr:uid="{00000000-0004-0000-0100-00003B000000}"/>
    <hyperlink ref="B23" location="'جدول 21 Table'!A1" display="جدول 21 Table" xr:uid="{00000000-0004-0000-0100-00003C000000}"/>
    <hyperlink ref="C23" location="'جدول 21 Table'!A1" display="جدول 21 Table" xr:uid="{00000000-0004-0000-0100-00003D000000}"/>
    <hyperlink ref="D23" location="'جدول 21 Table'!A1" display="جدول 21 Table" xr:uid="{00000000-0004-0000-0100-00003E000000}"/>
    <hyperlink ref="B24" location="'جدول 22 Table'!A1" display="جدول 22 Table" xr:uid="{00000000-0004-0000-0100-00003F000000}"/>
    <hyperlink ref="C24" location="'جدول 22 Table'!A1" display="جدول 22 Table" xr:uid="{00000000-0004-0000-0100-000040000000}"/>
    <hyperlink ref="D24" location="'جدول 22 Table'!A1" display="جدول 22 Table" xr:uid="{00000000-0004-0000-0100-000041000000}"/>
    <hyperlink ref="B25" location="'جدول 23 Table'!A1" display="جدول 23 Table" xr:uid="{00000000-0004-0000-0100-000042000000}"/>
    <hyperlink ref="C25" location="'جدول 23 Table'!A1" display="جدول 23 Table" xr:uid="{00000000-0004-0000-0100-000043000000}"/>
    <hyperlink ref="D25" location="'جدول 23 Table'!A1" display="جدول 23 Table" xr:uid="{00000000-0004-0000-0100-000044000000}"/>
    <hyperlink ref="B26" location="'جدول 24 Table'!A1" display="جدول 24 Table" xr:uid="{00000000-0004-0000-0100-000045000000}"/>
    <hyperlink ref="C26" location="'جدول 24 Table'!A1" display="جدول 24 Table" xr:uid="{00000000-0004-0000-0100-000046000000}"/>
    <hyperlink ref="D26" location="'جدول 24 Table'!A1" display="جدول 24 Table" xr:uid="{00000000-0004-0000-0100-000047000000}"/>
    <hyperlink ref="B27" location="'جدول 25 Table'!A1" display="جدول 25 Table" xr:uid="{00000000-0004-0000-0100-000048000000}"/>
    <hyperlink ref="C27" location="'جدول 25 Table'!A1" display="جدول 25 Table" xr:uid="{00000000-0004-0000-0100-000049000000}"/>
    <hyperlink ref="D27" location="'جدول 25 Table'!A1" display="جدول 25 Table" xr:uid="{00000000-0004-0000-0100-00004A000000}"/>
    <hyperlink ref="B28" location="'جدول 26 Table'!A1" display="جدول 26 Table" xr:uid="{00000000-0004-0000-0100-00004B000000}"/>
    <hyperlink ref="C28" location="'جدول 26 Table'!A1" display="جدول 26 Table" xr:uid="{00000000-0004-0000-0100-00004C000000}"/>
    <hyperlink ref="D28" location="'جدول 26 Table'!A1" display="جدول 26 Table" xr:uid="{00000000-0004-0000-0100-00004D000000}"/>
    <hyperlink ref="B29" location="'جدول 27 Table'!A1" display="جدول 27 Table" xr:uid="{00000000-0004-0000-0100-00004E000000}"/>
    <hyperlink ref="C29" location="'جدول 27 Table'!A1" display="جدول 27 Table" xr:uid="{00000000-0004-0000-0100-00004F000000}"/>
    <hyperlink ref="D29" location="'جدول 27 Table'!A1" display="جدول 27 Table" xr:uid="{00000000-0004-0000-0100-000050000000}"/>
    <hyperlink ref="B30" location="'جدول 28 Table'!A1" display="جدول 28 Table" xr:uid="{00000000-0004-0000-0100-000051000000}"/>
    <hyperlink ref="C30" location="'جدول 28 Table'!A1" display="جدول 28 Table" xr:uid="{00000000-0004-0000-0100-000052000000}"/>
    <hyperlink ref="D30" location="'جدول 28 Table'!A1" display="جدول 28 Table" xr:uid="{00000000-0004-0000-0100-000053000000}"/>
    <hyperlink ref="B31" location="'جدول 29 Table'!A1" display="جدول 29 Table" xr:uid="{00000000-0004-0000-0100-000054000000}"/>
    <hyperlink ref="C31" location="'جدول 29 Table'!A1" display="جدول 29 Table" xr:uid="{00000000-0004-0000-0100-000055000000}"/>
    <hyperlink ref="D31" location="'جدول 29 Table'!A1" display="جدول 29 Table" xr:uid="{00000000-0004-0000-0100-000056000000}"/>
    <hyperlink ref="B32" location="'جدول 30 Table'!A1" display="جدول 30 Table" xr:uid="{00000000-0004-0000-0100-000057000000}"/>
    <hyperlink ref="C32" location="'جدول 30 Table'!A1" display="جدول 30 Table" xr:uid="{00000000-0004-0000-0100-000058000000}"/>
    <hyperlink ref="D32" location="'جدول 30 Table'!A1" display="جدول 30 Table" xr:uid="{00000000-0004-0000-0100-000059000000}"/>
    <hyperlink ref="B33" location="'جدول 31 Table'!A1" display="جدول 31 Table" xr:uid="{00000000-0004-0000-0100-00005A000000}"/>
    <hyperlink ref="C33" location="'جدول 31 Table'!A1" display="جدول 31 Table" xr:uid="{00000000-0004-0000-0100-00005B000000}"/>
    <hyperlink ref="D33" location="'جدول 31 Table'!A1" display="جدول 31 Table" xr:uid="{00000000-0004-0000-0100-00005C000000}"/>
    <hyperlink ref="B34" location="'جدول 32 Table'!A1" display="جدول 32 Table" xr:uid="{00000000-0004-0000-0100-00005D000000}"/>
    <hyperlink ref="C34" location="'جدول 32 Table'!A1" display="جدول 32 Table" xr:uid="{00000000-0004-0000-0100-00005E000000}"/>
    <hyperlink ref="D34" location="'جدول 32 Table'!A1" display="جدول 32 Table" xr:uid="{00000000-0004-0000-0100-00005F000000}"/>
    <hyperlink ref="B35" location="'جدول 33 Table'!A1" display="جدول 33 Table" xr:uid="{00000000-0004-0000-0100-000060000000}"/>
    <hyperlink ref="C35" location="'جدول 33 Table'!A1" display="جدول 33 Table" xr:uid="{00000000-0004-0000-0100-000061000000}"/>
    <hyperlink ref="D35" location="'جدول 33 Table'!A1" display="جدول 33 Table" xr:uid="{00000000-0004-0000-0100-000062000000}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rightToLeft="1" workbookViewId="0">
      <selection activeCell="B22" sqref="B22"/>
    </sheetView>
  </sheetViews>
  <sheetFormatPr defaultColWidth="8.85546875" defaultRowHeight="16.5"/>
  <cols>
    <col min="1" max="1" width="11.7109375" style="7" customWidth="1"/>
    <col min="2" max="2" width="16.28515625" style="7" customWidth="1"/>
    <col min="3" max="3" width="20" style="7" customWidth="1"/>
    <col min="4" max="4" width="15" style="7" customWidth="1"/>
    <col min="5" max="5" width="20" style="7" customWidth="1"/>
    <col min="6" max="6" width="14.140625" style="7" customWidth="1"/>
    <col min="7" max="7" width="20.140625" style="7" customWidth="1"/>
    <col min="8" max="8" width="16.28515625" style="7" customWidth="1"/>
    <col min="9" max="9" width="20" style="7" customWidth="1"/>
    <col min="10" max="10" width="8.85546875" style="7" customWidth="1"/>
    <col min="11" max="16384" width="8.85546875" style="7"/>
  </cols>
  <sheetData>
    <row r="1" spans="1:9">
      <c r="A1" s="163" t="s">
        <v>23</v>
      </c>
    </row>
    <row r="2" spans="1:9" ht="18">
      <c r="A2" s="18" t="s">
        <v>432</v>
      </c>
      <c r="B2" s="19"/>
      <c r="C2" s="18"/>
      <c r="D2" s="19"/>
      <c r="E2" s="19"/>
      <c r="F2" s="19"/>
      <c r="G2" s="18"/>
      <c r="H2" s="19"/>
      <c r="I2" s="20" t="s">
        <v>493</v>
      </c>
    </row>
    <row r="3" spans="1:9" ht="13.9" customHeight="1">
      <c r="A3" s="8" t="s">
        <v>24</v>
      </c>
      <c r="B3" s="21"/>
      <c r="C3" s="21"/>
      <c r="D3" s="21"/>
      <c r="E3" s="21"/>
      <c r="F3" s="21"/>
      <c r="G3" s="21"/>
      <c r="H3" s="21"/>
      <c r="I3" s="22" t="s">
        <v>25</v>
      </c>
    </row>
    <row r="4" spans="1:9" ht="34.5" customHeight="1">
      <c r="A4" s="345" t="s">
        <v>26</v>
      </c>
      <c r="B4" s="348" t="s">
        <v>27</v>
      </c>
      <c r="C4" s="349"/>
      <c r="D4" s="349"/>
      <c r="E4" s="350"/>
      <c r="F4" s="348" t="s">
        <v>28</v>
      </c>
      <c r="G4" s="349"/>
      <c r="H4" s="349"/>
      <c r="I4" s="350"/>
    </row>
    <row r="5" spans="1:9" ht="21.6" customHeight="1">
      <c r="A5" s="346"/>
      <c r="B5" s="353" t="s">
        <v>29</v>
      </c>
      <c r="C5" s="354"/>
      <c r="D5" s="354"/>
      <c r="E5" s="355"/>
      <c r="F5" s="356" t="s">
        <v>30</v>
      </c>
      <c r="G5" s="354"/>
      <c r="H5" s="354"/>
      <c r="I5" s="355"/>
    </row>
    <row r="6" spans="1:9" ht="17.45" customHeight="1">
      <c r="A6" s="346"/>
      <c r="B6" s="351" t="s">
        <v>31</v>
      </c>
      <c r="C6" s="352"/>
      <c r="D6" s="352"/>
      <c r="E6" s="347"/>
      <c r="F6" s="357" t="s">
        <v>31</v>
      </c>
      <c r="G6" s="352"/>
      <c r="H6" s="352"/>
      <c r="I6" s="347"/>
    </row>
    <row r="7" spans="1:9" ht="36" customHeight="1">
      <c r="A7" s="347"/>
      <c r="B7" s="117" t="s">
        <v>32</v>
      </c>
      <c r="C7" s="117" t="s">
        <v>33</v>
      </c>
      <c r="D7" s="117" t="s">
        <v>34</v>
      </c>
      <c r="E7" s="117" t="s">
        <v>33</v>
      </c>
      <c r="F7" s="117" t="s">
        <v>32</v>
      </c>
      <c r="G7" s="117" t="s">
        <v>33</v>
      </c>
      <c r="H7" s="117" t="s">
        <v>34</v>
      </c>
      <c r="I7" s="117" t="s">
        <v>33</v>
      </c>
    </row>
    <row r="8" spans="1:9">
      <c r="A8" s="192">
        <v>2024</v>
      </c>
      <c r="B8" s="193">
        <v>5260</v>
      </c>
      <c r="C8" s="194" t="s">
        <v>502</v>
      </c>
      <c r="D8" s="195">
        <v>76362</v>
      </c>
      <c r="E8" s="196">
        <f>(D8-D9)/D9*100</f>
        <v>7.5278810408921943</v>
      </c>
      <c r="F8" s="197">
        <v>57</v>
      </c>
      <c r="G8" s="196">
        <f>(F8-F9)/F9*100</f>
        <v>7.5471698113207548</v>
      </c>
      <c r="H8" s="195">
        <v>104</v>
      </c>
      <c r="I8" s="238">
        <f>(H8-H9)/H9*100</f>
        <v>103.92156862745099</v>
      </c>
    </row>
    <row r="9" spans="1:9">
      <c r="A9" s="192">
        <v>2023</v>
      </c>
      <c r="B9" s="193">
        <v>5861</v>
      </c>
      <c r="C9" s="194" t="s">
        <v>494</v>
      </c>
      <c r="D9" s="195">
        <v>71016</v>
      </c>
      <c r="E9" s="198">
        <f>(D9-D10)/D10*100</f>
        <v>26.834669857655697</v>
      </c>
      <c r="F9" s="199">
        <v>53</v>
      </c>
      <c r="G9" s="194" t="s">
        <v>495</v>
      </c>
      <c r="H9" s="199">
        <v>51</v>
      </c>
      <c r="I9" s="239" t="s">
        <v>496</v>
      </c>
    </row>
    <row r="10" spans="1:9">
      <c r="A10" s="192">
        <v>2022</v>
      </c>
      <c r="B10" s="193">
        <v>7762</v>
      </c>
      <c r="C10" s="194" t="s">
        <v>497</v>
      </c>
      <c r="D10" s="195">
        <v>55991</v>
      </c>
      <c r="E10" s="200">
        <v>8.6999999999999993</v>
      </c>
      <c r="F10" s="199">
        <v>410</v>
      </c>
      <c r="G10" s="196">
        <f>(F10-F11)/F11*100</f>
        <v>1.2345679012345678</v>
      </c>
      <c r="H10" s="199">
        <v>554</v>
      </c>
      <c r="I10" s="198" t="s">
        <v>503</v>
      </c>
    </row>
    <row r="11" spans="1:9">
      <c r="A11" s="192">
        <v>2021</v>
      </c>
      <c r="B11" s="193">
        <v>7326</v>
      </c>
      <c r="C11" s="196">
        <f>(B11-B12)/B12*100</f>
        <v>18.582065393331177</v>
      </c>
      <c r="D11" s="195">
        <v>51511</v>
      </c>
      <c r="E11" s="201">
        <v>9.3000000000000007</v>
      </c>
      <c r="F11" s="193">
        <v>405</v>
      </c>
      <c r="G11" s="196">
        <f>(F11-F12)/F12*100</f>
        <v>36.824324324324323</v>
      </c>
      <c r="H11" s="195">
        <v>769</v>
      </c>
      <c r="I11" s="198">
        <f>(H11-H12)/H12*100</f>
        <v>46.476190476190474</v>
      </c>
    </row>
    <row r="12" spans="1:9">
      <c r="A12" s="202">
        <v>2020</v>
      </c>
      <c r="B12" s="203">
        <v>6178</v>
      </c>
      <c r="C12" s="204" t="s">
        <v>498</v>
      </c>
      <c r="D12" s="203">
        <v>56789</v>
      </c>
      <c r="E12" s="205" t="s">
        <v>504</v>
      </c>
      <c r="F12" s="206">
        <v>296</v>
      </c>
      <c r="G12" s="207" t="s">
        <v>505</v>
      </c>
      <c r="H12" s="208">
        <v>525</v>
      </c>
      <c r="I12" s="205" t="s">
        <v>506</v>
      </c>
    </row>
  </sheetData>
  <mergeCells count="7">
    <mergeCell ref="A4:A7"/>
    <mergeCell ref="B4:E4"/>
    <mergeCell ref="F4:I4"/>
    <mergeCell ref="B6:E6"/>
    <mergeCell ref="B5:E5"/>
    <mergeCell ref="F5:I5"/>
    <mergeCell ref="F6:I6"/>
  </mergeCells>
  <hyperlinks>
    <hyperlink ref="A1" location="'فهرس - Index'!A1" tooltip="#'فهرس - Index'!A1 - Click once to follow. Click and hold to select this cell." display="عودة للفهرس-return to Index" xr:uid="{52EFEDFA-A092-4E2E-BE3B-8AC29FCBC483}"/>
  </hyperlinks>
  <pageMargins left="0.7" right="0.7" top="0.75" bottom="0.75" header="0.3" footer="0.3"/>
  <ignoredErrors>
    <ignoredError sqref="C8:I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rightToLeft="1" workbookViewId="0">
      <selection activeCell="F21" sqref="F21"/>
    </sheetView>
  </sheetViews>
  <sheetFormatPr defaultColWidth="8.85546875" defaultRowHeight="16.5"/>
  <cols>
    <col min="1" max="1" width="13.85546875" style="7" customWidth="1"/>
    <col min="2" max="2" width="15.5703125" style="7" customWidth="1"/>
    <col min="3" max="3" width="18.140625" style="7" customWidth="1"/>
    <col min="4" max="4" width="27" style="7" customWidth="1"/>
    <col min="5" max="6" width="15.5703125" style="7" customWidth="1"/>
    <col min="7" max="7" width="23.5703125" style="7" customWidth="1"/>
    <col min="8" max="8" width="8.85546875" style="7" customWidth="1"/>
    <col min="9" max="16384" width="8.85546875" style="7"/>
  </cols>
  <sheetData>
    <row r="1" spans="1:7">
      <c r="A1" s="163" t="s">
        <v>23</v>
      </c>
    </row>
    <row r="2" spans="1:7" ht="18">
      <c r="A2" s="8" t="s">
        <v>433</v>
      </c>
    </row>
    <row r="3" spans="1:7" ht="18">
      <c r="B3" s="8"/>
      <c r="C3" s="8"/>
      <c r="D3" s="8"/>
      <c r="E3" s="8"/>
      <c r="G3" s="8" t="s">
        <v>499</v>
      </c>
    </row>
    <row r="4" spans="1:7" ht="18">
      <c r="A4" s="8" t="s">
        <v>35</v>
      </c>
      <c r="B4" s="8"/>
      <c r="C4" s="8"/>
      <c r="D4" s="8"/>
      <c r="E4" s="8"/>
      <c r="G4" s="8" t="s">
        <v>36</v>
      </c>
    </row>
    <row r="5" spans="1:7" ht="39" customHeight="1">
      <c r="A5" s="345" t="s">
        <v>26</v>
      </c>
      <c r="B5" s="348" t="s">
        <v>27</v>
      </c>
      <c r="C5" s="349"/>
      <c r="D5" s="350"/>
      <c r="E5" s="348" t="s">
        <v>28</v>
      </c>
      <c r="F5" s="349"/>
      <c r="G5" s="350"/>
    </row>
    <row r="6" spans="1:7" ht="18">
      <c r="A6" s="346"/>
      <c r="B6" s="353" t="s">
        <v>29</v>
      </c>
      <c r="C6" s="355"/>
      <c r="D6" s="348" t="s">
        <v>37</v>
      </c>
      <c r="E6" s="353" t="s">
        <v>29</v>
      </c>
      <c r="F6" s="355"/>
      <c r="G6" s="348" t="s">
        <v>37</v>
      </c>
    </row>
    <row r="7" spans="1:7" ht="23.25" customHeight="1">
      <c r="A7" s="346"/>
      <c r="B7" s="351" t="s">
        <v>31</v>
      </c>
      <c r="C7" s="347"/>
      <c r="D7" s="358"/>
      <c r="E7" s="351" t="s">
        <v>31</v>
      </c>
      <c r="F7" s="347"/>
      <c r="G7" s="358"/>
    </row>
    <row r="8" spans="1:7" ht="51" customHeight="1">
      <c r="A8" s="347"/>
      <c r="B8" s="117" t="s">
        <v>32</v>
      </c>
      <c r="C8" s="117" t="s">
        <v>34</v>
      </c>
      <c r="D8" s="118" t="s">
        <v>38</v>
      </c>
      <c r="E8" s="117" t="s">
        <v>39</v>
      </c>
      <c r="F8" s="117" t="s">
        <v>34</v>
      </c>
      <c r="G8" s="118" t="s">
        <v>38</v>
      </c>
    </row>
    <row r="9" spans="1:7">
      <c r="A9" s="119">
        <v>2024</v>
      </c>
      <c r="B9" s="193">
        <v>5260</v>
      </c>
      <c r="C9" s="195">
        <v>76362</v>
      </c>
      <c r="D9" s="209">
        <f>B9/C9*100</f>
        <v>6.8882428432990235</v>
      </c>
      <c r="E9" s="195">
        <v>57</v>
      </c>
      <c r="F9" s="195">
        <v>104</v>
      </c>
      <c r="G9" s="216">
        <f>E9/F9*100</f>
        <v>54.807692307692314</v>
      </c>
    </row>
    <row r="10" spans="1:7">
      <c r="A10" s="120">
        <v>2023</v>
      </c>
      <c r="B10" s="210">
        <v>5861</v>
      </c>
      <c r="C10" s="211">
        <v>71016</v>
      </c>
      <c r="D10" s="212">
        <f>B10/C10*100</f>
        <v>8.2530697307648975</v>
      </c>
      <c r="E10" s="213">
        <v>53</v>
      </c>
      <c r="F10" s="213">
        <v>51</v>
      </c>
      <c r="G10" s="212">
        <f>E10/F10*100</f>
        <v>103.92156862745099</v>
      </c>
    </row>
    <row r="11" spans="1:7">
      <c r="A11" s="120">
        <v>2022</v>
      </c>
      <c r="B11" s="193">
        <v>7762</v>
      </c>
      <c r="C11" s="195">
        <v>55991</v>
      </c>
      <c r="D11" s="209">
        <f>B11/C11*100</f>
        <v>13.86294225857727</v>
      </c>
      <c r="E11" s="214">
        <v>410</v>
      </c>
      <c r="F11" s="214">
        <v>554</v>
      </c>
      <c r="G11" s="209">
        <f>E11/F11*100</f>
        <v>74.007220216606498</v>
      </c>
    </row>
    <row r="12" spans="1:7">
      <c r="A12" s="120">
        <v>2021</v>
      </c>
      <c r="B12" s="193">
        <v>7326</v>
      </c>
      <c r="C12" s="195">
        <v>51511</v>
      </c>
      <c r="D12" s="209">
        <f>B12/C12*100</f>
        <v>14.222204965929608</v>
      </c>
      <c r="E12" s="214">
        <v>405</v>
      </c>
      <c r="F12" s="214">
        <v>769</v>
      </c>
      <c r="G12" s="209">
        <f>E12/F12*100</f>
        <v>52.665799739921979</v>
      </c>
    </row>
    <row r="13" spans="1:7">
      <c r="A13" s="121">
        <v>2020</v>
      </c>
      <c r="B13" s="203">
        <v>6178</v>
      </c>
      <c r="C13" s="203">
        <v>56789</v>
      </c>
      <c r="D13" s="215">
        <f>B13/C13*100</f>
        <v>10.878867386289597</v>
      </c>
      <c r="E13" s="206">
        <v>296</v>
      </c>
      <c r="F13" s="208">
        <v>525</v>
      </c>
      <c r="G13" s="217">
        <v>56.4</v>
      </c>
    </row>
  </sheetData>
  <mergeCells count="9">
    <mergeCell ref="A5:A8"/>
    <mergeCell ref="D6:D7"/>
    <mergeCell ref="B6:C6"/>
    <mergeCell ref="B5:D5"/>
    <mergeCell ref="E6:F6"/>
    <mergeCell ref="B7:C7"/>
    <mergeCell ref="E7:F7"/>
    <mergeCell ref="E5:G5"/>
    <mergeCell ref="G6:G7"/>
  </mergeCells>
  <hyperlinks>
    <hyperlink ref="A1" location="'فهرس - Index'!A1" tooltip="#'فهرس - Index'!A1 - Click once to follow. Click and hold to select this cell." display="عودة للفهرس-return to Index" xr:uid="{31A155B6-DD1E-429A-8B7A-CB5FFADEF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rightToLeft="1" workbookViewId="0">
      <selection activeCell="D16" sqref="D16"/>
    </sheetView>
  </sheetViews>
  <sheetFormatPr defaultColWidth="8.85546875" defaultRowHeight="16.5"/>
  <cols>
    <col min="1" max="1" width="13" style="7" customWidth="1"/>
    <col min="2" max="2" width="22.28515625" style="7" customWidth="1"/>
    <col min="3" max="3" width="21.7109375" style="7" customWidth="1"/>
    <col min="4" max="4" width="23.42578125" style="7" customWidth="1"/>
    <col min="5" max="5" width="18.28515625" style="7" customWidth="1"/>
    <col min="6" max="6" width="22.28515625" style="7" customWidth="1"/>
    <col min="7" max="7" width="8.85546875" style="7" customWidth="1"/>
    <col min="8" max="16384" width="8.85546875" style="7"/>
  </cols>
  <sheetData>
    <row r="1" spans="1:6" ht="15" customHeight="1">
      <c r="A1" s="163" t="s">
        <v>23</v>
      </c>
    </row>
    <row r="2" spans="1:6" ht="15" customHeight="1">
      <c r="A2" s="17" t="s">
        <v>500</v>
      </c>
      <c r="B2" s="17"/>
      <c r="C2" s="17"/>
      <c r="D2" s="17"/>
      <c r="E2" s="17"/>
      <c r="F2" s="17"/>
    </row>
    <row r="3" spans="1:6" ht="15" customHeight="1">
      <c r="A3" s="17"/>
      <c r="B3" s="17"/>
      <c r="C3" s="17"/>
      <c r="D3" s="17"/>
      <c r="E3" s="17"/>
      <c r="F3" s="17" t="s">
        <v>501</v>
      </c>
    </row>
    <row r="4" spans="1:6" ht="14.45" customHeight="1">
      <c r="A4" s="8" t="s">
        <v>40</v>
      </c>
      <c r="B4" s="17"/>
      <c r="C4" s="17"/>
      <c r="D4" s="17"/>
      <c r="E4" s="17"/>
      <c r="F4" s="17" t="s">
        <v>41</v>
      </c>
    </row>
    <row r="5" spans="1:6" ht="38.450000000000003" customHeight="1">
      <c r="A5" s="359" t="s">
        <v>26</v>
      </c>
      <c r="B5" s="115" t="s">
        <v>42</v>
      </c>
      <c r="C5" s="115" t="s">
        <v>43</v>
      </c>
      <c r="D5" s="115" t="s">
        <v>44</v>
      </c>
      <c r="E5" s="115" t="s">
        <v>45</v>
      </c>
      <c r="F5" s="115" t="s">
        <v>46</v>
      </c>
    </row>
    <row r="6" spans="1:6" ht="56.45" customHeight="1">
      <c r="A6" s="347"/>
      <c r="B6" s="116" t="s">
        <v>47</v>
      </c>
      <c r="C6" s="116" t="s">
        <v>48</v>
      </c>
      <c r="D6" s="116" t="s">
        <v>49</v>
      </c>
      <c r="E6" s="116" t="s">
        <v>50</v>
      </c>
      <c r="F6" s="116" t="s">
        <v>51</v>
      </c>
    </row>
    <row r="7" spans="1:6">
      <c r="A7" s="230">
        <v>2024</v>
      </c>
      <c r="B7" s="218">
        <v>106556174</v>
      </c>
      <c r="C7" s="219">
        <v>76362</v>
      </c>
      <c r="D7" s="220">
        <f>C7/B7*100000</f>
        <v>71.663609093171829</v>
      </c>
      <c r="E7" s="219">
        <v>5260</v>
      </c>
      <c r="F7" s="221">
        <f>E7/B7*100000</f>
        <v>4.9363634246101968</v>
      </c>
    </row>
    <row r="8" spans="1:6">
      <c r="A8" s="231">
        <v>2023</v>
      </c>
      <c r="B8" s="222">
        <v>105174090</v>
      </c>
      <c r="C8" s="223">
        <v>71016</v>
      </c>
      <c r="D8" s="224">
        <v>67.522333685035917</v>
      </c>
      <c r="E8" s="223">
        <v>5861</v>
      </c>
      <c r="F8" s="225">
        <v>5.5726652828657706</v>
      </c>
    </row>
    <row r="9" spans="1:6">
      <c r="A9" s="231">
        <v>2022</v>
      </c>
      <c r="B9" s="199">
        <v>103605039</v>
      </c>
      <c r="C9" s="223">
        <v>55991</v>
      </c>
      <c r="D9" s="224">
        <v>54.042738210831615</v>
      </c>
      <c r="E9" s="223">
        <v>7762</v>
      </c>
      <c r="F9" s="225">
        <v>7.4919135931216632</v>
      </c>
    </row>
    <row r="10" spans="1:6">
      <c r="A10" s="231">
        <v>2021</v>
      </c>
      <c r="B10" s="199">
        <v>102060688</v>
      </c>
      <c r="C10" s="223">
        <v>51511</v>
      </c>
      <c r="D10" s="224">
        <v>50.470951165839686</v>
      </c>
      <c r="E10" s="223">
        <v>7326</v>
      </c>
      <c r="F10" s="225">
        <v>7.1780821230599576</v>
      </c>
    </row>
    <row r="11" spans="1:6">
      <c r="A11" s="232">
        <v>2020</v>
      </c>
      <c r="B11" s="226">
        <v>100604140</v>
      </c>
      <c r="C11" s="227">
        <v>56789</v>
      </c>
      <c r="D11" s="228">
        <v>56.447975202610948</v>
      </c>
      <c r="E11" s="227">
        <v>6178</v>
      </c>
      <c r="F11" s="229">
        <v>6.1409003645376812</v>
      </c>
    </row>
  </sheetData>
  <mergeCells count="1">
    <mergeCell ref="A5:A6"/>
  </mergeCells>
  <hyperlinks>
    <hyperlink ref="A1" location="'فهرس - Index'!A1" tooltip="#'فهرس - Index'!A1 - Click once to follow. Click and hold to select this cell." display="عودة للفهرس-return to Index" xr:uid="{3E201D6C-07CB-4AA0-8287-F7CC7DD7F3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rightToLeft="1" workbookViewId="0">
      <selection activeCell="D19" sqref="D19"/>
    </sheetView>
  </sheetViews>
  <sheetFormatPr defaultColWidth="8.85546875" defaultRowHeight="16.5"/>
  <cols>
    <col min="1" max="3" width="13.28515625" style="7" customWidth="1"/>
    <col min="4" max="4" width="17.140625" style="7" customWidth="1"/>
    <col min="5" max="5" width="16.140625" style="7" customWidth="1"/>
    <col min="6" max="14" width="13.28515625" style="7" customWidth="1"/>
    <col min="15" max="15" width="8.85546875" style="7" customWidth="1"/>
    <col min="16" max="16384" width="8.85546875" style="7"/>
  </cols>
  <sheetData>
    <row r="1" spans="1:14">
      <c r="A1" s="163" t="s">
        <v>23</v>
      </c>
    </row>
    <row r="2" spans="1:14" ht="18">
      <c r="A2" s="362" t="s">
        <v>510</v>
      </c>
      <c r="B2" s="362"/>
      <c r="C2" s="362"/>
      <c r="D2" s="362"/>
      <c r="E2" s="362"/>
      <c r="F2" s="10"/>
      <c r="G2" s="10"/>
      <c r="H2" s="361" t="s">
        <v>436</v>
      </c>
      <c r="I2" s="361"/>
      <c r="J2" s="361"/>
      <c r="K2" s="361"/>
      <c r="L2" s="361"/>
      <c r="M2" s="361"/>
      <c r="N2" s="361"/>
    </row>
    <row r="3" spans="1:14" ht="18">
      <c r="A3" s="8" t="s">
        <v>52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6" t="s">
        <v>53</v>
      </c>
    </row>
    <row r="4" spans="1:14" ht="18">
      <c r="A4" s="360" t="s">
        <v>54</v>
      </c>
      <c r="B4" s="66" t="s">
        <v>55</v>
      </c>
      <c r="C4" s="66" t="s">
        <v>56</v>
      </c>
      <c r="D4" s="66" t="s">
        <v>57</v>
      </c>
      <c r="E4" s="66" t="s">
        <v>58</v>
      </c>
      <c r="F4" s="66" t="s">
        <v>59</v>
      </c>
      <c r="G4" s="66" t="s">
        <v>60</v>
      </c>
      <c r="H4" s="66" t="s">
        <v>61</v>
      </c>
      <c r="I4" s="66" t="s">
        <v>62</v>
      </c>
      <c r="J4" s="66" t="s">
        <v>63</v>
      </c>
      <c r="K4" s="66" t="s">
        <v>64</v>
      </c>
      <c r="L4" s="66" t="s">
        <v>65</v>
      </c>
      <c r="M4" s="66" t="s">
        <v>66</v>
      </c>
      <c r="N4" s="66" t="s">
        <v>67</v>
      </c>
    </row>
    <row r="5" spans="1:14" ht="18">
      <c r="A5" s="347"/>
      <c r="B5" s="82" t="s">
        <v>68</v>
      </c>
      <c r="C5" s="82" t="s">
        <v>69</v>
      </c>
      <c r="D5" s="82" t="s">
        <v>70</v>
      </c>
      <c r="E5" s="82" t="s">
        <v>71</v>
      </c>
      <c r="F5" s="82" t="s">
        <v>72</v>
      </c>
      <c r="G5" s="82" t="s">
        <v>73</v>
      </c>
      <c r="H5" s="82" t="s">
        <v>74</v>
      </c>
      <c r="I5" s="82" t="s">
        <v>75</v>
      </c>
      <c r="J5" s="102" t="s">
        <v>76</v>
      </c>
      <c r="K5" s="102" t="s">
        <v>77</v>
      </c>
      <c r="L5" s="102" t="s">
        <v>78</v>
      </c>
      <c r="M5" s="82" t="s">
        <v>79</v>
      </c>
      <c r="N5" s="82" t="s">
        <v>80</v>
      </c>
    </row>
    <row r="6" spans="1:14" ht="18">
      <c r="A6" s="83">
        <v>2024</v>
      </c>
      <c r="B6" s="109">
        <v>5989</v>
      </c>
      <c r="C6" s="109">
        <v>5241</v>
      </c>
      <c r="D6" s="109">
        <v>6478</v>
      </c>
      <c r="E6" s="109">
        <v>6724</v>
      </c>
      <c r="F6" s="109">
        <v>6097</v>
      </c>
      <c r="G6" s="109">
        <v>6063</v>
      </c>
      <c r="H6" s="109">
        <v>6392</v>
      </c>
      <c r="I6" s="109">
        <v>6856</v>
      </c>
      <c r="J6" s="109">
        <v>6722</v>
      </c>
      <c r="K6" s="109">
        <v>7155</v>
      </c>
      <c r="L6" s="109">
        <v>6245</v>
      </c>
      <c r="M6" s="109">
        <v>6400</v>
      </c>
      <c r="N6" s="110">
        <v>76362</v>
      </c>
    </row>
    <row r="7" spans="1:14" ht="18">
      <c r="A7" s="86">
        <v>2023</v>
      </c>
      <c r="B7" s="111">
        <v>5396</v>
      </c>
      <c r="C7" s="111">
        <v>4690</v>
      </c>
      <c r="D7" s="111">
        <v>5798</v>
      </c>
      <c r="E7" s="111">
        <v>6163</v>
      </c>
      <c r="F7" s="111">
        <v>6054</v>
      </c>
      <c r="G7" s="111">
        <v>6001</v>
      </c>
      <c r="H7" s="111">
        <v>6103</v>
      </c>
      <c r="I7" s="111">
        <v>6089</v>
      </c>
      <c r="J7" s="111">
        <v>6201</v>
      </c>
      <c r="K7" s="111">
        <v>6723</v>
      </c>
      <c r="L7" s="111">
        <v>6156</v>
      </c>
      <c r="M7" s="111">
        <v>5642</v>
      </c>
      <c r="N7" s="112">
        <v>71016</v>
      </c>
    </row>
    <row r="8" spans="1:14" ht="18">
      <c r="A8" s="86">
        <v>2022</v>
      </c>
      <c r="B8" s="111">
        <v>3097</v>
      </c>
      <c r="C8" s="111">
        <v>2771</v>
      </c>
      <c r="D8" s="111">
        <v>3981</v>
      </c>
      <c r="E8" s="111">
        <v>4717</v>
      </c>
      <c r="F8" s="111">
        <v>5291</v>
      </c>
      <c r="G8" s="111">
        <v>4987</v>
      </c>
      <c r="H8" s="111">
        <v>4949</v>
      </c>
      <c r="I8" s="111">
        <v>5144</v>
      </c>
      <c r="J8" s="111">
        <v>5285</v>
      </c>
      <c r="K8" s="111">
        <v>5686</v>
      </c>
      <c r="L8" s="111">
        <v>5021</v>
      </c>
      <c r="M8" s="111">
        <v>5062</v>
      </c>
      <c r="N8" s="112">
        <v>55991</v>
      </c>
    </row>
    <row r="9" spans="1:14" ht="18">
      <c r="A9" s="86">
        <v>2021</v>
      </c>
      <c r="B9" s="111">
        <v>4207</v>
      </c>
      <c r="C9" s="111">
        <v>4000</v>
      </c>
      <c r="D9" s="111">
        <v>4431</v>
      </c>
      <c r="E9" s="111">
        <v>4395</v>
      </c>
      <c r="F9" s="111">
        <v>4249</v>
      </c>
      <c r="G9" s="111">
        <v>4157</v>
      </c>
      <c r="H9" s="111">
        <v>4918</v>
      </c>
      <c r="I9" s="111">
        <v>4569</v>
      </c>
      <c r="J9" s="111">
        <v>4811</v>
      </c>
      <c r="K9" s="111">
        <v>4177</v>
      </c>
      <c r="L9" s="111">
        <v>3887</v>
      </c>
      <c r="M9" s="111">
        <v>3710</v>
      </c>
      <c r="N9" s="112">
        <v>51511</v>
      </c>
    </row>
    <row r="10" spans="1:14" ht="18">
      <c r="A10" s="87">
        <v>2020</v>
      </c>
      <c r="B10" s="113">
        <v>6495</v>
      </c>
      <c r="C10" s="113">
        <v>5806</v>
      </c>
      <c r="D10" s="113">
        <v>4388</v>
      </c>
      <c r="E10" s="113">
        <v>3813</v>
      </c>
      <c r="F10" s="113">
        <v>3736</v>
      </c>
      <c r="G10" s="113">
        <v>3282</v>
      </c>
      <c r="H10" s="113">
        <v>3738</v>
      </c>
      <c r="I10" s="113">
        <v>4859</v>
      </c>
      <c r="J10" s="113">
        <v>4827</v>
      </c>
      <c r="K10" s="113">
        <v>5329</v>
      </c>
      <c r="L10" s="113">
        <v>5461</v>
      </c>
      <c r="M10" s="113">
        <v>5055</v>
      </c>
      <c r="N10" s="114">
        <v>56789</v>
      </c>
    </row>
  </sheetData>
  <mergeCells count="3">
    <mergeCell ref="A4:A5"/>
    <mergeCell ref="H2:N2"/>
    <mergeCell ref="A2:E2"/>
  </mergeCells>
  <hyperlinks>
    <hyperlink ref="A1" location="'فهرس - Index'!A1" tooltip="#'فهرس - Index'!A1 - Click once to follow. Click and hold to select this cell." display="عودة للفهرس-return to Index" xr:uid="{76357DCD-10EF-4383-B02F-0863007D5EA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"/>
  <sheetViews>
    <sheetView rightToLeft="1" workbookViewId="0">
      <selection activeCell="D11" sqref="D11"/>
    </sheetView>
  </sheetViews>
  <sheetFormatPr defaultColWidth="8.85546875" defaultRowHeight="16.5"/>
  <cols>
    <col min="1" max="1" width="14.42578125" style="7" customWidth="1"/>
    <col min="2" max="3" width="12.28515625" style="100" customWidth="1"/>
    <col min="4" max="4" width="29.42578125" style="100" customWidth="1"/>
    <col min="5" max="14" width="12.28515625" style="100" customWidth="1"/>
    <col min="15" max="15" width="14.42578125" style="7" customWidth="1"/>
    <col min="16" max="16" width="8.85546875" style="7" customWidth="1"/>
    <col min="17" max="16384" width="8.85546875" style="7"/>
  </cols>
  <sheetData>
    <row r="1" spans="1:15">
      <c r="A1" s="163" t="s">
        <v>23</v>
      </c>
    </row>
    <row r="2" spans="1:15" ht="18">
      <c r="A2" s="365" t="s">
        <v>449</v>
      </c>
      <c r="B2" s="365"/>
      <c r="C2" s="365"/>
      <c r="D2" s="365"/>
      <c r="E2" s="14"/>
      <c r="F2" s="14"/>
      <c r="G2" s="366" t="s">
        <v>477</v>
      </c>
      <c r="H2" s="366"/>
      <c r="I2" s="366"/>
      <c r="J2" s="366"/>
      <c r="K2" s="366"/>
      <c r="L2" s="366"/>
      <c r="M2" s="366"/>
      <c r="N2" s="366"/>
      <c r="O2" s="366"/>
    </row>
    <row r="3" spans="1:15" ht="18">
      <c r="A3" s="8" t="s">
        <v>81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9" t="s">
        <v>82</v>
      </c>
    </row>
    <row r="4" spans="1:15" ht="18.600000000000001" customHeight="1">
      <c r="A4" s="360" t="s">
        <v>83</v>
      </c>
      <c r="B4" s="101" t="s">
        <v>55</v>
      </c>
      <c r="C4" s="101" t="s">
        <v>56</v>
      </c>
      <c r="D4" s="101" t="s">
        <v>57</v>
      </c>
      <c r="E4" s="101" t="s">
        <v>58</v>
      </c>
      <c r="F4" s="101" t="s">
        <v>59</v>
      </c>
      <c r="G4" s="101" t="s">
        <v>60</v>
      </c>
      <c r="H4" s="101" t="s">
        <v>61</v>
      </c>
      <c r="I4" s="101" t="s">
        <v>62</v>
      </c>
      <c r="J4" s="101" t="s">
        <v>63</v>
      </c>
      <c r="K4" s="101" t="s">
        <v>64</v>
      </c>
      <c r="L4" s="101" t="s">
        <v>65</v>
      </c>
      <c r="M4" s="101" t="s">
        <v>66</v>
      </c>
      <c r="N4" s="101" t="s">
        <v>67</v>
      </c>
      <c r="O4" s="363" t="s">
        <v>84</v>
      </c>
    </row>
    <row r="5" spans="1:15" ht="19.899999999999999" customHeight="1">
      <c r="A5" s="347"/>
      <c r="B5" s="82" t="s">
        <v>68</v>
      </c>
      <c r="C5" s="82" t="s">
        <v>69</v>
      </c>
      <c r="D5" s="82" t="s">
        <v>70</v>
      </c>
      <c r="E5" s="82" t="s">
        <v>71</v>
      </c>
      <c r="F5" s="82" t="s">
        <v>72</v>
      </c>
      <c r="G5" s="82" t="s">
        <v>73</v>
      </c>
      <c r="H5" s="82" t="s">
        <v>74</v>
      </c>
      <c r="I5" s="102" t="s">
        <v>75</v>
      </c>
      <c r="J5" s="102" t="s">
        <v>76</v>
      </c>
      <c r="K5" s="102" t="s">
        <v>77</v>
      </c>
      <c r="L5" s="102" t="s">
        <v>78</v>
      </c>
      <c r="M5" s="82" t="s">
        <v>79</v>
      </c>
      <c r="N5" s="82" t="s">
        <v>80</v>
      </c>
      <c r="O5" s="364"/>
    </row>
    <row r="6" spans="1:15" ht="18">
      <c r="A6" s="103" t="s">
        <v>85</v>
      </c>
      <c r="B6" s="104">
        <v>5989</v>
      </c>
      <c r="C6" s="104">
        <v>5241</v>
      </c>
      <c r="D6" s="104">
        <v>6478</v>
      </c>
      <c r="E6" s="104">
        <v>6724</v>
      </c>
      <c r="F6" s="104">
        <v>6097</v>
      </c>
      <c r="G6" s="104">
        <v>6063</v>
      </c>
      <c r="H6" s="104">
        <v>6392</v>
      </c>
      <c r="I6" s="104">
        <v>6856</v>
      </c>
      <c r="J6" s="104">
        <v>6722</v>
      </c>
      <c r="K6" s="104">
        <v>7155</v>
      </c>
      <c r="L6" s="104">
        <v>6245</v>
      </c>
      <c r="M6" s="104">
        <v>6400</v>
      </c>
      <c r="N6" s="104">
        <v>76362</v>
      </c>
      <c r="O6" s="105" t="s">
        <v>80</v>
      </c>
    </row>
    <row r="7" spans="1:15" ht="18">
      <c r="A7" s="36" t="s">
        <v>86</v>
      </c>
      <c r="B7" s="106">
        <v>105</v>
      </c>
      <c r="C7" s="106">
        <v>63</v>
      </c>
      <c r="D7" s="106">
        <v>41</v>
      </c>
      <c r="E7" s="106">
        <v>74</v>
      </c>
      <c r="F7" s="106">
        <v>69</v>
      </c>
      <c r="G7" s="106">
        <v>58</v>
      </c>
      <c r="H7" s="106">
        <v>52</v>
      </c>
      <c r="I7" s="106">
        <v>133</v>
      </c>
      <c r="J7" s="106">
        <v>100</v>
      </c>
      <c r="K7" s="106">
        <v>81</v>
      </c>
      <c r="L7" s="106">
        <v>58</v>
      </c>
      <c r="M7" s="106">
        <v>100</v>
      </c>
      <c r="N7" s="107">
        <v>934</v>
      </c>
      <c r="O7" s="108" t="s">
        <v>87</v>
      </c>
    </row>
    <row r="8" spans="1:15" ht="18">
      <c r="A8" s="36" t="s">
        <v>88</v>
      </c>
      <c r="B8" s="106">
        <v>236</v>
      </c>
      <c r="C8" s="106">
        <v>235</v>
      </c>
      <c r="D8" s="106">
        <v>277</v>
      </c>
      <c r="E8" s="106">
        <v>271</v>
      </c>
      <c r="F8" s="106">
        <v>203</v>
      </c>
      <c r="G8" s="106">
        <v>250</v>
      </c>
      <c r="H8" s="106">
        <v>192</v>
      </c>
      <c r="I8" s="106">
        <v>291</v>
      </c>
      <c r="J8" s="106">
        <v>250</v>
      </c>
      <c r="K8" s="106">
        <v>300</v>
      </c>
      <c r="L8" s="106">
        <v>225</v>
      </c>
      <c r="M8" s="106">
        <v>250</v>
      </c>
      <c r="N8" s="107">
        <v>2980</v>
      </c>
      <c r="O8" s="108" t="s">
        <v>89</v>
      </c>
    </row>
    <row r="9" spans="1:15" ht="18">
      <c r="A9" s="36" t="s">
        <v>90</v>
      </c>
      <c r="B9" s="106">
        <v>0</v>
      </c>
      <c r="C9" s="106">
        <v>0</v>
      </c>
      <c r="D9" s="106">
        <v>0</v>
      </c>
      <c r="E9" s="106">
        <v>0</v>
      </c>
      <c r="F9" s="106">
        <v>0</v>
      </c>
      <c r="G9" s="106">
        <v>0</v>
      </c>
      <c r="H9" s="106">
        <v>0</v>
      </c>
      <c r="I9" s="106">
        <v>0</v>
      </c>
      <c r="J9" s="106">
        <v>0</v>
      </c>
      <c r="K9" s="106">
        <v>0</v>
      </c>
      <c r="L9" s="106">
        <v>0</v>
      </c>
      <c r="M9" s="106">
        <v>0</v>
      </c>
      <c r="N9" s="107">
        <v>0</v>
      </c>
      <c r="O9" s="108" t="s">
        <v>91</v>
      </c>
    </row>
    <row r="10" spans="1:15" ht="18">
      <c r="A10" s="36" t="s">
        <v>92</v>
      </c>
      <c r="B10" s="106">
        <v>0</v>
      </c>
      <c r="C10" s="106">
        <v>0</v>
      </c>
      <c r="D10" s="106">
        <v>0</v>
      </c>
      <c r="E10" s="106">
        <v>0</v>
      </c>
      <c r="F10" s="106">
        <v>13</v>
      </c>
      <c r="G10" s="106">
        <v>9</v>
      </c>
      <c r="H10" s="106">
        <v>7</v>
      </c>
      <c r="I10" s="106">
        <v>3</v>
      </c>
      <c r="J10" s="106">
        <v>7</v>
      </c>
      <c r="K10" s="106">
        <v>0</v>
      </c>
      <c r="L10" s="106">
        <v>0</v>
      </c>
      <c r="M10" s="106">
        <v>0</v>
      </c>
      <c r="N10" s="107">
        <v>39</v>
      </c>
      <c r="O10" s="108" t="s">
        <v>93</v>
      </c>
    </row>
    <row r="11" spans="1:15" ht="18">
      <c r="A11" s="36" t="s">
        <v>94</v>
      </c>
      <c r="B11" s="106">
        <v>7</v>
      </c>
      <c r="C11" s="106">
        <v>10</v>
      </c>
      <c r="D11" s="106">
        <v>16</v>
      </c>
      <c r="E11" s="106">
        <v>15</v>
      </c>
      <c r="F11" s="106">
        <v>18</v>
      </c>
      <c r="G11" s="106">
        <v>14</v>
      </c>
      <c r="H11" s="106">
        <v>24</v>
      </c>
      <c r="I11" s="106">
        <v>20</v>
      </c>
      <c r="J11" s="106">
        <v>17</v>
      </c>
      <c r="K11" s="106">
        <v>24</v>
      </c>
      <c r="L11" s="106">
        <v>20</v>
      </c>
      <c r="M11" s="106">
        <v>14</v>
      </c>
      <c r="N11" s="107">
        <v>199</v>
      </c>
      <c r="O11" s="108" t="s">
        <v>95</v>
      </c>
    </row>
    <row r="12" spans="1:15" ht="18">
      <c r="A12" s="36" t="s">
        <v>96</v>
      </c>
      <c r="B12" s="106">
        <v>442</v>
      </c>
      <c r="C12" s="106">
        <v>310</v>
      </c>
      <c r="D12" s="106">
        <v>590</v>
      </c>
      <c r="E12" s="106">
        <v>668</v>
      </c>
      <c r="F12" s="106">
        <v>579</v>
      </c>
      <c r="G12" s="106">
        <v>598</v>
      </c>
      <c r="H12" s="106">
        <v>585</v>
      </c>
      <c r="I12" s="106">
        <v>600</v>
      </c>
      <c r="J12" s="106">
        <v>597</v>
      </c>
      <c r="K12" s="106">
        <v>670</v>
      </c>
      <c r="L12" s="106">
        <v>495</v>
      </c>
      <c r="M12" s="106">
        <v>472</v>
      </c>
      <c r="N12" s="107">
        <v>6606</v>
      </c>
      <c r="O12" s="108" t="s">
        <v>97</v>
      </c>
    </row>
    <row r="13" spans="1:15" ht="18">
      <c r="A13" s="36" t="s">
        <v>98</v>
      </c>
      <c r="B13" s="106">
        <v>1123</v>
      </c>
      <c r="C13" s="106">
        <v>961</v>
      </c>
      <c r="D13" s="106">
        <v>1172</v>
      </c>
      <c r="E13" s="106">
        <v>1242</v>
      </c>
      <c r="F13" s="106">
        <v>1287</v>
      </c>
      <c r="G13" s="106">
        <v>1303</v>
      </c>
      <c r="H13" s="106">
        <v>1368</v>
      </c>
      <c r="I13" s="106">
        <v>1414</v>
      </c>
      <c r="J13" s="106">
        <v>1430</v>
      </c>
      <c r="K13" s="106">
        <v>1514</v>
      </c>
      <c r="L13" s="106">
        <v>1383</v>
      </c>
      <c r="M13" s="106">
        <v>1366</v>
      </c>
      <c r="N13" s="107">
        <v>15563</v>
      </c>
      <c r="O13" s="108" t="s">
        <v>99</v>
      </c>
    </row>
    <row r="14" spans="1:15" ht="18">
      <c r="A14" s="36" t="s">
        <v>100</v>
      </c>
      <c r="B14" s="106">
        <v>670</v>
      </c>
      <c r="C14" s="106">
        <v>633</v>
      </c>
      <c r="D14" s="106">
        <v>711</v>
      </c>
      <c r="E14" s="106">
        <v>812</v>
      </c>
      <c r="F14" s="106">
        <v>805</v>
      </c>
      <c r="G14" s="106">
        <v>677</v>
      </c>
      <c r="H14" s="106">
        <v>725</v>
      </c>
      <c r="I14" s="106">
        <v>725</v>
      </c>
      <c r="J14" s="106">
        <v>720</v>
      </c>
      <c r="K14" s="106">
        <v>836</v>
      </c>
      <c r="L14" s="106">
        <v>775</v>
      </c>
      <c r="M14" s="106">
        <v>875</v>
      </c>
      <c r="N14" s="107">
        <v>8964</v>
      </c>
      <c r="O14" s="108" t="s">
        <v>101</v>
      </c>
    </row>
    <row r="15" spans="1:15" ht="18">
      <c r="A15" s="36" t="s">
        <v>102</v>
      </c>
      <c r="B15" s="106">
        <v>62</v>
      </c>
      <c r="C15" s="106">
        <v>48</v>
      </c>
      <c r="D15" s="106">
        <v>44</v>
      </c>
      <c r="E15" s="106">
        <v>33</v>
      </c>
      <c r="F15" s="106">
        <v>29</v>
      </c>
      <c r="G15" s="106">
        <v>22</v>
      </c>
      <c r="H15" s="106">
        <v>32</v>
      </c>
      <c r="I15" s="106">
        <v>32</v>
      </c>
      <c r="J15" s="106">
        <v>32</v>
      </c>
      <c r="K15" s="106">
        <v>72</v>
      </c>
      <c r="L15" s="106">
        <v>58</v>
      </c>
      <c r="M15" s="106">
        <v>77</v>
      </c>
      <c r="N15" s="107">
        <v>541</v>
      </c>
      <c r="O15" s="108" t="s">
        <v>103</v>
      </c>
    </row>
    <row r="16" spans="1:15" ht="18">
      <c r="A16" s="36" t="s">
        <v>104</v>
      </c>
      <c r="B16" s="106">
        <v>406</v>
      </c>
      <c r="C16" s="106">
        <v>263</v>
      </c>
      <c r="D16" s="106">
        <v>352</v>
      </c>
      <c r="E16" s="106">
        <v>406</v>
      </c>
      <c r="F16" s="106">
        <v>331</v>
      </c>
      <c r="G16" s="106">
        <v>437</v>
      </c>
      <c r="H16" s="106">
        <v>308</v>
      </c>
      <c r="I16" s="106">
        <v>368</v>
      </c>
      <c r="J16" s="106">
        <v>375</v>
      </c>
      <c r="K16" s="106">
        <v>324</v>
      </c>
      <c r="L16" s="106">
        <v>339</v>
      </c>
      <c r="M16" s="106">
        <v>426</v>
      </c>
      <c r="N16" s="107">
        <v>4335</v>
      </c>
      <c r="O16" s="108" t="s">
        <v>105</v>
      </c>
    </row>
    <row r="17" spans="1:15" ht="18">
      <c r="A17" s="36" t="s">
        <v>106</v>
      </c>
      <c r="B17" s="106">
        <v>377</v>
      </c>
      <c r="C17" s="106">
        <v>437</v>
      </c>
      <c r="D17" s="106">
        <v>588</v>
      </c>
      <c r="E17" s="106">
        <v>406</v>
      </c>
      <c r="F17" s="106">
        <v>412</v>
      </c>
      <c r="G17" s="106">
        <v>375</v>
      </c>
      <c r="H17" s="106">
        <v>462</v>
      </c>
      <c r="I17" s="106">
        <v>488</v>
      </c>
      <c r="J17" s="106">
        <v>535</v>
      </c>
      <c r="K17" s="106">
        <v>496</v>
      </c>
      <c r="L17" s="106">
        <v>407</v>
      </c>
      <c r="M17" s="106">
        <v>376</v>
      </c>
      <c r="N17" s="107">
        <v>5359</v>
      </c>
      <c r="O17" s="108" t="s">
        <v>107</v>
      </c>
    </row>
    <row r="18" spans="1:15" ht="18">
      <c r="A18" s="36" t="s">
        <v>108</v>
      </c>
      <c r="B18" s="106">
        <v>173</v>
      </c>
      <c r="C18" s="106">
        <v>186</v>
      </c>
      <c r="D18" s="106">
        <v>175</v>
      </c>
      <c r="E18" s="106">
        <v>196</v>
      </c>
      <c r="F18" s="106">
        <v>132</v>
      </c>
      <c r="G18" s="106">
        <v>103</v>
      </c>
      <c r="H18" s="106">
        <v>164</v>
      </c>
      <c r="I18" s="106">
        <v>144</v>
      </c>
      <c r="J18" s="106">
        <v>164</v>
      </c>
      <c r="K18" s="106">
        <v>199</v>
      </c>
      <c r="L18" s="106">
        <v>165</v>
      </c>
      <c r="M18" s="106">
        <v>232</v>
      </c>
      <c r="N18" s="107">
        <v>2033</v>
      </c>
      <c r="O18" s="108" t="s">
        <v>109</v>
      </c>
    </row>
    <row r="19" spans="1:15" ht="18">
      <c r="A19" s="36" t="s">
        <v>110</v>
      </c>
      <c r="B19" s="106">
        <v>372</v>
      </c>
      <c r="C19" s="106">
        <v>362</v>
      </c>
      <c r="D19" s="106">
        <v>381</v>
      </c>
      <c r="E19" s="106">
        <v>470</v>
      </c>
      <c r="F19" s="106">
        <v>381</v>
      </c>
      <c r="G19" s="106">
        <v>503</v>
      </c>
      <c r="H19" s="106">
        <v>542</v>
      </c>
      <c r="I19" s="106">
        <v>526</v>
      </c>
      <c r="J19" s="106">
        <v>601</v>
      </c>
      <c r="K19" s="106">
        <v>633</v>
      </c>
      <c r="L19" s="106">
        <v>486</v>
      </c>
      <c r="M19" s="106">
        <v>429</v>
      </c>
      <c r="N19" s="107">
        <v>5686</v>
      </c>
      <c r="O19" s="108" t="s">
        <v>111</v>
      </c>
    </row>
    <row r="20" spans="1:15" ht="18">
      <c r="A20" s="36" t="s">
        <v>112</v>
      </c>
      <c r="B20" s="106">
        <v>366</v>
      </c>
      <c r="C20" s="106">
        <v>289</v>
      </c>
      <c r="D20" s="106">
        <v>449</v>
      </c>
      <c r="E20" s="106">
        <v>450</v>
      </c>
      <c r="F20" s="106">
        <v>331</v>
      </c>
      <c r="G20" s="106">
        <v>251</v>
      </c>
      <c r="H20" s="106">
        <v>336</v>
      </c>
      <c r="I20" s="106">
        <v>380</v>
      </c>
      <c r="J20" s="106">
        <v>277</v>
      </c>
      <c r="K20" s="106">
        <v>359</v>
      </c>
      <c r="L20" s="106">
        <v>260</v>
      </c>
      <c r="M20" s="106">
        <v>291</v>
      </c>
      <c r="N20" s="107">
        <v>4039</v>
      </c>
      <c r="O20" s="108" t="s">
        <v>113</v>
      </c>
    </row>
    <row r="21" spans="1:15" ht="18">
      <c r="A21" s="36" t="s">
        <v>114</v>
      </c>
      <c r="B21" s="106">
        <v>100</v>
      </c>
      <c r="C21" s="106">
        <v>90</v>
      </c>
      <c r="D21" s="106">
        <v>120</v>
      </c>
      <c r="E21" s="106">
        <v>132</v>
      </c>
      <c r="F21" s="106">
        <v>89</v>
      </c>
      <c r="G21" s="106">
        <v>98</v>
      </c>
      <c r="H21" s="106">
        <v>80</v>
      </c>
      <c r="I21" s="106">
        <v>96</v>
      </c>
      <c r="J21" s="106">
        <v>83</v>
      </c>
      <c r="K21" s="106">
        <v>100</v>
      </c>
      <c r="L21" s="106">
        <v>102</v>
      </c>
      <c r="M21" s="106">
        <v>85</v>
      </c>
      <c r="N21" s="107">
        <v>1175</v>
      </c>
      <c r="O21" s="108" t="s">
        <v>115</v>
      </c>
    </row>
    <row r="22" spans="1:15" ht="18">
      <c r="A22" s="36" t="s">
        <v>116</v>
      </c>
      <c r="B22" s="106">
        <v>17</v>
      </c>
      <c r="C22" s="106">
        <v>15</v>
      </c>
      <c r="D22" s="106">
        <v>18</v>
      </c>
      <c r="E22" s="106">
        <v>8</v>
      </c>
      <c r="F22" s="106">
        <v>8</v>
      </c>
      <c r="G22" s="106">
        <v>15</v>
      </c>
      <c r="H22" s="106">
        <v>11</v>
      </c>
      <c r="I22" s="106">
        <v>7</v>
      </c>
      <c r="J22" s="106">
        <v>25</v>
      </c>
      <c r="K22" s="106">
        <v>16</v>
      </c>
      <c r="L22" s="106">
        <v>26</v>
      </c>
      <c r="M22" s="106">
        <v>13</v>
      </c>
      <c r="N22" s="107">
        <v>179</v>
      </c>
      <c r="O22" s="108" t="s">
        <v>117</v>
      </c>
    </row>
    <row r="23" spans="1:15" ht="18">
      <c r="A23" s="36" t="s">
        <v>118</v>
      </c>
      <c r="B23" s="106">
        <v>166</v>
      </c>
      <c r="C23" s="106">
        <v>131</v>
      </c>
      <c r="D23" s="106">
        <v>106</v>
      </c>
      <c r="E23" s="106">
        <v>82</v>
      </c>
      <c r="F23" s="106">
        <v>15</v>
      </c>
      <c r="G23" s="106">
        <v>23</v>
      </c>
      <c r="H23" s="106">
        <v>14</v>
      </c>
      <c r="I23" s="106">
        <v>36</v>
      </c>
      <c r="J23" s="106">
        <v>39</v>
      </c>
      <c r="K23" s="106">
        <v>37</v>
      </c>
      <c r="L23" s="106">
        <v>65</v>
      </c>
      <c r="M23" s="106">
        <v>50</v>
      </c>
      <c r="N23" s="107">
        <v>764</v>
      </c>
      <c r="O23" s="108" t="s">
        <v>119</v>
      </c>
    </row>
    <row r="24" spans="1:15" ht="18">
      <c r="A24" s="36" t="s">
        <v>120</v>
      </c>
      <c r="B24" s="106">
        <v>516</v>
      </c>
      <c r="C24" s="106">
        <v>401</v>
      </c>
      <c r="D24" s="106">
        <v>526</v>
      </c>
      <c r="E24" s="106">
        <v>487</v>
      </c>
      <c r="F24" s="106">
        <v>381</v>
      </c>
      <c r="G24" s="106">
        <v>389</v>
      </c>
      <c r="H24" s="106">
        <v>344</v>
      </c>
      <c r="I24" s="106">
        <v>469</v>
      </c>
      <c r="J24" s="106">
        <v>397</v>
      </c>
      <c r="K24" s="106">
        <v>397</v>
      </c>
      <c r="L24" s="106">
        <v>366</v>
      </c>
      <c r="M24" s="106">
        <v>305</v>
      </c>
      <c r="N24" s="107">
        <v>4978</v>
      </c>
      <c r="O24" s="108" t="s">
        <v>121</v>
      </c>
    </row>
    <row r="25" spans="1:15" ht="18">
      <c r="A25" s="36" t="s">
        <v>122</v>
      </c>
      <c r="B25" s="106">
        <v>365</v>
      </c>
      <c r="C25" s="106">
        <v>301</v>
      </c>
      <c r="D25" s="106">
        <v>284</v>
      </c>
      <c r="E25" s="106">
        <v>410</v>
      </c>
      <c r="F25" s="106">
        <v>496</v>
      </c>
      <c r="G25" s="106">
        <v>450</v>
      </c>
      <c r="H25" s="106">
        <v>436</v>
      </c>
      <c r="I25" s="106">
        <v>477</v>
      </c>
      <c r="J25" s="106">
        <v>488</v>
      </c>
      <c r="K25" s="106">
        <v>544</v>
      </c>
      <c r="L25" s="106">
        <v>479</v>
      </c>
      <c r="M25" s="106">
        <v>515</v>
      </c>
      <c r="N25" s="107">
        <v>5245</v>
      </c>
      <c r="O25" s="108" t="s">
        <v>123</v>
      </c>
    </row>
    <row r="26" spans="1:15" ht="18">
      <c r="A26" s="36" t="s">
        <v>124</v>
      </c>
      <c r="B26" s="106">
        <v>99</v>
      </c>
      <c r="C26" s="106">
        <v>109</v>
      </c>
      <c r="D26" s="106">
        <v>114</v>
      </c>
      <c r="E26" s="106">
        <v>63</v>
      </c>
      <c r="F26" s="106">
        <v>64</v>
      </c>
      <c r="G26" s="106">
        <v>70</v>
      </c>
      <c r="H26" s="106">
        <v>68</v>
      </c>
      <c r="I26" s="106">
        <v>48</v>
      </c>
      <c r="J26" s="106">
        <v>54</v>
      </c>
      <c r="K26" s="106">
        <v>95</v>
      </c>
      <c r="L26" s="106">
        <v>72</v>
      </c>
      <c r="M26" s="106">
        <v>68</v>
      </c>
      <c r="N26" s="107">
        <v>924</v>
      </c>
      <c r="O26" s="108" t="s">
        <v>125</v>
      </c>
    </row>
    <row r="27" spans="1:15" ht="18">
      <c r="A27" s="36" t="s">
        <v>126</v>
      </c>
      <c r="B27" s="106">
        <v>28</v>
      </c>
      <c r="C27" s="106">
        <v>40</v>
      </c>
      <c r="D27" s="106">
        <v>1</v>
      </c>
      <c r="E27" s="106">
        <v>4</v>
      </c>
      <c r="F27" s="106">
        <v>5</v>
      </c>
      <c r="G27" s="106">
        <v>1</v>
      </c>
      <c r="H27" s="106">
        <v>2</v>
      </c>
      <c r="I27" s="106">
        <v>0</v>
      </c>
      <c r="J27" s="106">
        <v>5</v>
      </c>
      <c r="K27" s="106">
        <v>3</v>
      </c>
      <c r="L27" s="106">
        <v>5</v>
      </c>
      <c r="M27" s="106">
        <v>13</v>
      </c>
      <c r="N27" s="107">
        <v>107</v>
      </c>
      <c r="O27" s="108" t="s">
        <v>127</v>
      </c>
    </row>
    <row r="28" spans="1:15" ht="18">
      <c r="A28" s="36" t="s">
        <v>128</v>
      </c>
      <c r="B28" s="106">
        <v>0</v>
      </c>
      <c r="C28" s="106">
        <v>0</v>
      </c>
      <c r="D28" s="106">
        <v>0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6">
        <v>0</v>
      </c>
      <c r="K28" s="106">
        <v>0</v>
      </c>
      <c r="L28" s="106">
        <v>0</v>
      </c>
      <c r="M28" s="106">
        <v>0</v>
      </c>
      <c r="N28" s="107">
        <v>0</v>
      </c>
      <c r="O28" s="108" t="s">
        <v>129</v>
      </c>
    </row>
    <row r="29" spans="1:15" ht="18">
      <c r="A29" s="36" t="s">
        <v>130</v>
      </c>
      <c r="B29" s="106">
        <v>151</v>
      </c>
      <c r="C29" s="106">
        <v>116</v>
      </c>
      <c r="D29" s="106">
        <v>255</v>
      </c>
      <c r="E29" s="106">
        <v>209</v>
      </c>
      <c r="F29" s="106">
        <v>168</v>
      </c>
      <c r="G29" s="106">
        <v>106</v>
      </c>
      <c r="H29" s="106">
        <v>254</v>
      </c>
      <c r="I29" s="106">
        <v>191</v>
      </c>
      <c r="J29" s="106">
        <v>204</v>
      </c>
      <c r="K29" s="106">
        <v>229</v>
      </c>
      <c r="L29" s="106">
        <v>197</v>
      </c>
      <c r="M29" s="106">
        <v>209</v>
      </c>
      <c r="N29" s="107">
        <v>2289</v>
      </c>
      <c r="O29" s="108" t="s">
        <v>131</v>
      </c>
    </row>
    <row r="30" spans="1:15" ht="18">
      <c r="A30" s="36" t="s">
        <v>132</v>
      </c>
      <c r="B30" s="106">
        <v>75</v>
      </c>
      <c r="C30" s="106">
        <v>33</v>
      </c>
      <c r="D30" s="106">
        <v>58</v>
      </c>
      <c r="E30" s="106">
        <v>59</v>
      </c>
      <c r="F30" s="106">
        <v>41</v>
      </c>
      <c r="G30" s="106">
        <v>33</v>
      </c>
      <c r="H30" s="106">
        <v>50</v>
      </c>
      <c r="I30" s="106">
        <v>47</v>
      </c>
      <c r="J30" s="106">
        <v>69</v>
      </c>
      <c r="K30" s="106">
        <v>30</v>
      </c>
      <c r="L30" s="106">
        <v>35</v>
      </c>
      <c r="M30" s="106">
        <v>38</v>
      </c>
      <c r="N30" s="107">
        <v>568</v>
      </c>
      <c r="O30" s="108" t="s">
        <v>133</v>
      </c>
    </row>
    <row r="31" spans="1:15" ht="18">
      <c r="A31" s="36" t="s">
        <v>134</v>
      </c>
      <c r="B31" s="106">
        <v>84</v>
      </c>
      <c r="C31" s="106">
        <v>152</v>
      </c>
      <c r="D31" s="106">
        <v>131</v>
      </c>
      <c r="E31" s="106">
        <v>124</v>
      </c>
      <c r="F31" s="106">
        <v>184</v>
      </c>
      <c r="G31" s="106">
        <v>193</v>
      </c>
      <c r="H31" s="106">
        <v>246</v>
      </c>
      <c r="I31" s="106">
        <v>261</v>
      </c>
      <c r="J31" s="106">
        <v>156</v>
      </c>
      <c r="K31" s="106">
        <v>121</v>
      </c>
      <c r="L31" s="106">
        <v>163</v>
      </c>
      <c r="M31" s="106">
        <v>113</v>
      </c>
      <c r="N31" s="107">
        <v>1928</v>
      </c>
      <c r="O31" s="108" t="s">
        <v>135</v>
      </c>
    </row>
    <row r="32" spans="1:15" ht="18">
      <c r="A32" s="36" t="s">
        <v>136</v>
      </c>
      <c r="B32" s="106">
        <v>26</v>
      </c>
      <c r="C32" s="106">
        <v>39</v>
      </c>
      <c r="D32" s="106">
        <v>40</v>
      </c>
      <c r="E32" s="106">
        <v>69</v>
      </c>
      <c r="F32" s="106">
        <v>41</v>
      </c>
      <c r="G32" s="106">
        <v>55</v>
      </c>
      <c r="H32" s="106">
        <v>59</v>
      </c>
      <c r="I32" s="106">
        <v>58</v>
      </c>
      <c r="J32" s="106">
        <v>65</v>
      </c>
      <c r="K32" s="106">
        <v>53</v>
      </c>
      <c r="L32" s="106">
        <v>45</v>
      </c>
      <c r="M32" s="106">
        <v>55</v>
      </c>
      <c r="N32" s="107">
        <v>605</v>
      </c>
      <c r="O32" s="108" t="s">
        <v>137</v>
      </c>
    </row>
    <row r="33" spans="1:15" ht="18">
      <c r="A33" s="98" t="s">
        <v>138</v>
      </c>
      <c r="B33" s="42">
        <v>23</v>
      </c>
      <c r="C33" s="42">
        <v>17</v>
      </c>
      <c r="D33" s="42">
        <v>29</v>
      </c>
      <c r="E33" s="42">
        <v>34</v>
      </c>
      <c r="F33" s="79">
        <v>15</v>
      </c>
      <c r="G33" s="79">
        <v>30</v>
      </c>
      <c r="H33" s="79">
        <v>31</v>
      </c>
      <c r="I33" s="79">
        <v>42</v>
      </c>
      <c r="J33" s="79">
        <v>32</v>
      </c>
      <c r="K33" s="79">
        <v>22</v>
      </c>
      <c r="L33" s="79">
        <v>19</v>
      </c>
      <c r="M33" s="79">
        <v>28</v>
      </c>
      <c r="N33" s="80">
        <v>322</v>
      </c>
      <c r="O33" s="81" t="s">
        <v>139</v>
      </c>
    </row>
    <row r="34" spans="1:15">
      <c r="A34" s="7" t="s">
        <v>140</v>
      </c>
    </row>
  </sheetData>
  <mergeCells count="4">
    <mergeCell ref="O4:O5"/>
    <mergeCell ref="A4:A5"/>
    <mergeCell ref="A2:D2"/>
    <mergeCell ref="G2:O2"/>
  </mergeCells>
  <hyperlinks>
    <hyperlink ref="A1" location="'فهرس - Index'!A1" tooltip="#'فهرس - Index'!A1 - Click once to follow. Click and hold to select this cell." display="عودة للفهرس-return to Index" xr:uid="{0B3E6A91-6D31-4E59-AD9F-3B290D03C43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rightToLeft="1" workbookViewId="0">
      <selection activeCell="B21" sqref="B21"/>
    </sheetView>
  </sheetViews>
  <sheetFormatPr defaultColWidth="8.85546875" defaultRowHeight="16.5"/>
  <cols>
    <col min="1" max="1" width="19.7109375" style="7" customWidth="1"/>
    <col min="2" max="2" width="16.7109375" style="7" customWidth="1"/>
    <col min="3" max="3" width="23.42578125" style="7" customWidth="1"/>
    <col min="4" max="4" width="14.7109375" style="7" customWidth="1"/>
    <col min="5" max="5" width="13.28515625" style="7" customWidth="1"/>
    <col min="6" max="6" width="8.85546875" style="7" customWidth="1"/>
    <col min="7" max="16384" width="8.85546875" style="7"/>
  </cols>
  <sheetData>
    <row r="1" spans="1:5">
      <c r="A1" s="163" t="s">
        <v>23</v>
      </c>
    </row>
    <row r="2" spans="1:5" ht="18">
      <c r="A2" s="362" t="s">
        <v>511</v>
      </c>
      <c r="B2" s="362"/>
      <c r="C2" s="362"/>
      <c r="D2" s="362"/>
      <c r="E2" s="10"/>
    </row>
    <row r="3" spans="1:5" ht="18">
      <c r="B3" s="366" t="s">
        <v>512</v>
      </c>
      <c r="C3" s="366"/>
      <c r="D3" s="366"/>
      <c r="E3" s="366"/>
    </row>
    <row r="4" spans="1:5" ht="18">
      <c r="A4" s="8" t="s">
        <v>141</v>
      </c>
      <c r="B4" s="15"/>
      <c r="C4" s="15"/>
      <c r="D4" s="15"/>
      <c r="E4" s="9" t="s">
        <v>142</v>
      </c>
    </row>
    <row r="5" spans="1:5" ht="31.15" customHeight="1">
      <c r="A5" s="360" t="s">
        <v>54</v>
      </c>
      <c r="B5" s="66" t="s">
        <v>143</v>
      </c>
      <c r="C5" s="66" t="s">
        <v>144</v>
      </c>
      <c r="D5" s="66" t="s">
        <v>145</v>
      </c>
      <c r="E5" s="66" t="s">
        <v>146</v>
      </c>
    </row>
    <row r="6" spans="1:5" ht="31.9" customHeight="1">
      <c r="A6" s="347"/>
      <c r="B6" s="82" t="s">
        <v>147</v>
      </c>
      <c r="C6" s="82" t="s">
        <v>148</v>
      </c>
      <c r="D6" s="99" t="s">
        <v>149</v>
      </c>
      <c r="E6" s="82" t="s">
        <v>150</v>
      </c>
    </row>
    <row r="7" spans="1:5" ht="18">
      <c r="A7" s="83">
        <v>2024</v>
      </c>
      <c r="B7" s="84">
        <v>61853</v>
      </c>
      <c r="C7" s="84">
        <v>14509</v>
      </c>
      <c r="D7" s="84">
        <v>0</v>
      </c>
      <c r="E7" s="85">
        <v>76362</v>
      </c>
    </row>
    <row r="8" spans="1:5" ht="18">
      <c r="A8" s="86">
        <v>2023</v>
      </c>
      <c r="B8" s="74">
        <v>57198</v>
      </c>
      <c r="C8" s="74">
        <v>13531</v>
      </c>
      <c r="D8" s="74">
        <v>287</v>
      </c>
      <c r="E8" s="75">
        <v>71016</v>
      </c>
    </row>
    <row r="9" spans="1:5" ht="18">
      <c r="A9" s="86">
        <v>2022</v>
      </c>
      <c r="B9" s="74">
        <v>45400</v>
      </c>
      <c r="C9" s="74">
        <v>10591</v>
      </c>
      <c r="D9" s="74">
        <v>0</v>
      </c>
      <c r="E9" s="75">
        <v>55991</v>
      </c>
    </row>
    <row r="10" spans="1:5" ht="18">
      <c r="A10" s="86">
        <v>2021</v>
      </c>
      <c r="B10" s="74">
        <v>41670</v>
      </c>
      <c r="C10" s="74">
        <v>9331</v>
      </c>
      <c r="D10" s="74">
        <v>510</v>
      </c>
      <c r="E10" s="75">
        <v>51511</v>
      </c>
    </row>
    <row r="11" spans="1:5" ht="18">
      <c r="A11" s="87">
        <v>2020</v>
      </c>
      <c r="B11" s="88">
        <v>46324</v>
      </c>
      <c r="C11" s="88">
        <v>10222</v>
      </c>
      <c r="D11" s="88">
        <v>243</v>
      </c>
      <c r="E11" s="89">
        <v>56789</v>
      </c>
    </row>
  </sheetData>
  <mergeCells count="3">
    <mergeCell ref="A5:A6"/>
    <mergeCell ref="B3:E3"/>
    <mergeCell ref="A2:D2"/>
  </mergeCells>
  <hyperlinks>
    <hyperlink ref="A1" location="'فهرس - Index'!A1" tooltip="#'فهرس - Index'!A1 - Click once to follow. Click and hold to select this cell." display="عودة للفهرس-return to Index" xr:uid="{3F0CC178-7DDB-49B3-BB81-56891BBB904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rightToLeft="1" workbookViewId="0">
      <selection activeCell="I16" sqref="I16"/>
    </sheetView>
  </sheetViews>
  <sheetFormatPr defaultColWidth="8.85546875" defaultRowHeight="16.5"/>
  <cols>
    <col min="1" max="1" width="18.85546875" style="7" customWidth="1"/>
    <col min="2" max="2" width="16.28515625" style="7" customWidth="1"/>
    <col min="3" max="3" width="19" style="7" customWidth="1"/>
    <col min="4" max="4" width="18" style="7" customWidth="1"/>
    <col min="5" max="6" width="18.85546875" style="7" customWidth="1"/>
    <col min="7" max="7" width="8.85546875" style="7" customWidth="1"/>
    <col min="8" max="16384" width="8.85546875" style="7"/>
  </cols>
  <sheetData>
    <row r="1" spans="1:6">
      <c r="A1" s="163" t="s">
        <v>23</v>
      </c>
    </row>
    <row r="2" spans="1:6" ht="18">
      <c r="A2" s="5" t="s">
        <v>450</v>
      </c>
      <c r="B2" s="13"/>
      <c r="C2" s="13"/>
      <c r="D2" s="13"/>
      <c r="E2" s="13"/>
      <c r="F2" s="13"/>
    </row>
    <row r="3" spans="1:6" ht="18">
      <c r="B3" s="6"/>
      <c r="C3" s="6"/>
      <c r="D3" s="6"/>
      <c r="E3" s="6"/>
      <c r="F3" s="9" t="s">
        <v>478</v>
      </c>
    </row>
    <row r="4" spans="1:6" ht="18">
      <c r="A4" s="8" t="s">
        <v>151</v>
      </c>
      <c r="B4" s="15"/>
      <c r="C4" s="15"/>
      <c r="D4" s="15"/>
      <c r="E4" s="15"/>
      <c r="F4" s="9" t="s">
        <v>152</v>
      </c>
    </row>
    <row r="5" spans="1:6" ht="18">
      <c r="A5" s="360" t="s">
        <v>83</v>
      </c>
      <c r="B5" s="65" t="s">
        <v>143</v>
      </c>
      <c r="C5" s="66" t="s">
        <v>144</v>
      </c>
      <c r="D5" s="66" t="s">
        <v>145</v>
      </c>
      <c r="E5" s="66" t="s">
        <v>146</v>
      </c>
      <c r="F5" s="363" t="s">
        <v>84</v>
      </c>
    </row>
    <row r="6" spans="1:6" ht="18">
      <c r="A6" s="347"/>
      <c r="B6" s="68" t="s">
        <v>153</v>
      </c>
      <c r="C6" s="82" t="s">
        <v>154</v>
      </c>
      <c r="D6" s="82" t="s">
        <v>149</v>
      </c>
      <c r="E6" s="82" t="s">
        <v>80</v>
      </c>
      <c r="F6" s="364"/>
    </row>
    <row r="7" spans="1:6" ht="18">
      <c r="A7" s="90" t="s">
        <v>85</v>
      </c>
      <c r="B7" s="91">
        <v>61853</v>
      </c>
      <c r="C7" s="91">
        <v>14509</v>
      </c>
      <c r="D7" s="91">
        <v>0</v>
      </c>
      <c r="E7" s="91">
        <v>76362</v>
      </c>
      <c r="F7" s="92" t="s">
        <v>80</v>
      </c>
    </row>
    <row r="8" spans="1:6" ht="18">
      <c r="A8" s="93" t="s">
        <v>86</v>
      </c>
      <c r="B8" s="94">
        <v>704</v>
      </c>
      <c r="C8" s="94">
        <v>230</v>
      </c>
      <c r="D8" s="94" t="s">
        <v>513</v>
      </c>
      <c r="E8" s="35">
        <v>934</v>
      </c>
      <c r="F8" s="95" t="s">
        <v>87</v>
      </c>
    </row>
    <row r="9" spans="1:6" ht="18">
      <c r="A9" s="96" t="s">
        <v>88</v>
      </c>
      <c r="B9" s="97">
        <v>2238</v>
      </c>
      <c r="C9" s="97">
        <v>742</v>
      </c>
      <c r="D9" s="97" t="s">
        <v>513</v>
      </c>
      <c r="E9" s="38">
        <v>2980</v>
      </c>
      <c r="F9" s="77" t="s">
        <v>89</v>
      </c>
    </row>
    <row r="10" spans="1:6" ht="18">
      <c r="A10" s="96" t="s">
        <v>90</v>
      </c>
      <c r="B10" s="97">
        <v>0</v>
      </c>
      <c r="C10" s="97">
        <v>0</v>
      </c>
      <c r="D10" s="97" t="s">
        <v>513</v>
      </c>
      <c r="E10" s="38">
        <v>0</v>
      </c>
      <c r="F10" s="77" t="s">
        <v>91</v>
      </c>
    </row>
    <row r="11" spans="1:6" ht="18">
      <c r="A11" s="96" t="s">
        <v>92</v>
      </c>
      <c r="B11" s="97">
        <v>25</v>
      </c>
      <c r="C11" s="97">
        <v>14</v>
      </c>
      <c r="D11" s="97" t="s">
        <v>513</v>
      </c>
      <c r="E11" s="38">
        <v>39</v>
      </c>
      <c r="F11" s="77" t="s">
        <v>93</v>
      </c>
    </row>
    <row r="12" spans="1:6" ht="18">
      <c r="A12" s="96" t="s">
        <v>96</v>
      </c>
      <c r="B12" s="97">
        <v>5476</v>
      </c>
      <c r="C12" s="97">
        <v>1130</v>
      </c>
      <c r="D12" s="97" t="s">
        <v>513</v>
      </c>
      <c r="E12" s="38">
        <v>6606</v>
      </c>
      <c r="F12" s="77" t="s">
        <v>97</v>
      </c>
    </row>
    <row r="13" spans="1:6" ht="18">
      <c r="A13" s="96" t="s">
        <v>98</v>
      </c>
      <c r="B13" s="97">
        <v>12727</v>
      </c>
      <c r="C13" s="97">
        <v>2836</v>
      </c>
      <c r="D13" s="97" t="s">
        <v>513</v>
      </c>
      <c r="E13" s="38">
        <v>15563</v>
      </c>
      <c r="F13" s="77" t="s">
        <v>99</v>
      </c>
    </row>
    <row r="14" spans="1:6" ht="18">
      <c r="A14" s="96" t="s">
        <v>100</v>
      </c>
      <c r="B14" s="97">
        <v>7200</v>
      </c>
      <c r="C14" s="97">
        <v>1764</v>
      </c>
      <c r="D14" s="97" t="s">
        <v>513</v>
      </c>
      <c r="E14" s="38">
        <v>8964</v>
      </c>
      <c r="F14" s="77" t="s">
        <v>101</v>
      </c>
    </row>
    <row r="15" spans="1:6" ht="18">
      <c r="A15" s="96" t="s">
        <v>102</v>
      </c>
      <c r="B15" s="97">
        <v>401</v>
      </c>
      <c r="C15" s="97">
        <v>140</v>
      </c>
      <c r="D15" s="97" t="s">
        <v>513</v>
      </c>
      <c r="E15" s="38">
        <v>541</v>
      </c>
      <c r="F15" s="77" t="s">
        <v>103</v>
      </c>
    </row>
    <row r="16" spans="1:6" ht="18">
      <c r="A16" s="96" t="s">
        <v>104</v>
      </c>
      <c r="B16" s="97">
        <v>3442</v>
      </c>
      <c r="C16" s="97">
        <v>893</v>
      </c>
      <c r="D16" s="97" t="s">
        <v>513</v>
      </c>
      <c r="E16" s="38">
        <v>4335</v>
      </c>
      <c r="F16" s="77" t="s">
        <v>105</v>
      </c>
    </row>
    <row r="17" spans="1:6" ht="18">
      <c r="A17" s="96" t="s">
        <v>106</v>
      </c>
      <c r="B17" s="97">
        <v>4287</v>
      </c>
      <c r="C17" s="97">
        <v>1072</v>
      </c>
      <c r="D17" s="97" t="s">
        <v>513</v>
      </c>
      <c r="E17" s="38">
        <v>5359</v>
      </c>
      <c r="F17" s="77" t="s">
        <v>107</v>
      </c>
    </row>
    <row r="18" spans="1:6" ht="18">
      <c r="A18" s="96" t="s">
        <v>108</v>
      </c>
      <c r="B18" s="97">
        <v>1589</v>
      </c>
      <c r="C18" s="97">
        <v>444</v>
      </c>
      <c r="D18" s="97" t="s">
        <v>513</v>
      </c>
      <c r="E18" s="38">
        <v>2033</v>
      </c>
      <c r="F18" s="77" t="s">
        <v>109</v>
      </c>
    </row>
    <row r="19" spans="1:6" ht="18">
      <c r="A19" s="96" t="s">
        <v>110</v>
      </c>
      <c r="B19" s="97">
        <v>4401</v>
      </c>
      <c r="C19" s="97">
        <v>1285</v>
      </c>
      <c r="D19" s="97" t="s">
        <v>513</v>
      </c>
      <c r="E19" s="38">
        <v>5686</v>
      </c>
      <c r="F19" s="77" t="s">
        <v>111</v>
      </c>
    </row>
    <row r="20" spans="1:6" ht="18">
      <c r="A20" s="96" t="s">
        <v>94</v>
      </c>
      <c r="B20" s="97">
        <v>149</v>
      </c>
      <c r="C20" s="97">
        <v>50</v>
      </c>
      <c r="D20" s="97" t="s">
        <v>513</v>
      </c>
      <c r="E20" s="38">
        <v>199</v>
      </c>
      <c r="F20" s="77" t="s">
        <v>95</v>
      </c>
    </row>
    <row r="21" spans="1:6" ht="18">
      <c r="A21" s="96" t="s">
        <v>112</v>
      </c>
      <c r="B21" s="97">
        <v>3331</v>
      </c>
      <c r="C21" s="97">
        <v>708</v>
      </c>
      <c r="D21" s="97" t="s">
        <v>513</v>
      </c>
      <c r="E21" s="38">
        <v>4039</v>
      </c>
      <c r="F21" s="77" t="s">
        <v>113</v>
      </c>
    </row>
    <row r="22" spans="1:6" ht="18">
      <c r="A22" s="96" t="s">
        <v>114</v>
      </c>
      <c r="B22" s="97">
        <v>961</v>
      </c>
      <c r="C22" s="97">
        <v>214</v>
      </c>
      <c r="D22" s="97" t="s">
        <v>513</v>
      </c>
      <c r="E22" s="38">
        <v>1175</v>
      </c>
      <c r="F22" s="77" t="s">
        <v>115</v>
      </c>
    </row>
    <row r="23" spans="1:6" ht="18">
      <c r="A23" s="96" t="s">
        <v>116</v>
      </c>
      <c r="B23" s="97">
        <v>150</v>
      </c>
      <c r="C23" s="97">
        <v>29</v>
      </c>
      <c r="D23" s="97" t="s">
        <v>513</v>
      </c>
      <c r="E23" s="38">
        <v>179</v>
      </c>
      <c r="F23" s="77" t="s">
        <v>117</v>
      </c>
    </row>
    <row r="24" spans="1:6" ht="18">
      <c r="A24" s="96" t="s">
        <v>118</v>
      </c>
      <c r="B24" s="97">
        <v>572</v>
      </c>
      <c r="C24" s="97">
        <v>192</v>
      </c>
      <c r="D24" s="97" t="s">
        <v>513</v>
      </c>
      <c r="E24" s="38">
        <v>764</v>
      </c>
      <c r="F24" s="77" t="s">
        <v>119</v>
      </c>
    </row>
    <row r="25" spans="1:6" ht="18">
      <c r="A25" s="96" t="s">
        <v>120</v>
      </c>
      <c r="B25" s="97">
        <v>4139</v>
      </c>
      <c r="C25" s="97">
        <v>839</v>
      </c>
      <c r="D25" s="97" t="s">
        <v>513</v>
      </c>
      <c r="E25" s="38">
        <v>4978</v>
      </c>
      <c r="F25" s="77" t="s">
        <v>121</v>
      </c>
    </row>
    <row r="26" spans="1:6" ht="18">
      <c r="A26" s="96" t="s">
        <v>122</v>
      </c>
      <c r="B26" s="97">
        <v>4488</v>
      </c>
      <c r="C26" s="97">
        <v>757</v>
      </c>
      <c r="D26" s="97" t="s">
        <v>513</v>
      </c>
      <c r="E26" s="38">
        <v>5245</v>
      </c>
      <c r="F26" s="77" t="s">
        <v>123</v>
      </c>
    </row>
    <row r="27" spans="1:6" ht="18">
      <c r="A27" s="96" t="s">
        <v>124</v>
      </c>
      <c r="B27" s="97">
        <v>816</v>
      </c>
      <c r="C27" s="97">
        <v>108</v>
      </c>
      <c r="D27" s="97" t="s">
        <v>513</v>
      </c>
      <c r="E27" s="38">
        <v>924</v>
      </c>
      <c r="F27" s="77" t="s">
        <v>125</v>
      </c>
    </row>
    <row r="28" spans="1:6" ht="18">
      <c r="A28" s="96" t="s">
        <v>126</v>
      </c>
      <c r="B28" s="97">
        <v>87</v>
      </c>
      <c r="C28" s="97">
        <v>20</v>
      </c>
      <c r="D28" s="97" t="s">
        <v>513</v>
      </c>
      <c r="E28" s="38">
        <v>107</v>
      </c>
      <c r="F28" s="77" t="s">
        <v>127</v>
      </c>
    </row>
    <row r="29" spans="1:6" ht="18">
      <c r="A29" s="96" t="s">
        <v>128</v>
      </c>
      <c r="B29" s="97" t="s">
        <v>513</v>
      </c>
      <c r="C29" s="97" t="s">
        <v>513</v>
      </c>
      <c r="D29" s="97" t="s">
        <v>513</v>
      </c>
      <c r="E29" s="38">
        <v>0</v>
      </c>
      <c r="F29" s="77" t="s">
        <v>129</v>
      </c>
    </row>
    <row r="30" spans="1:6" ht="18">
      <c r="A30" s="96" t="s">
        <v>134</v>
      </c>
      <c r="B30" s="97">
        <v>1532</v>
      </c>
      <c r="C30" s="97">
        <v>396</v>
      </c>
      <c r="D30" s="97" t="s">
        <v>513</v>
      </c>
      <c r="E30" s="38">
        <v>1928</v>
      </c>
      <c r="F30" s="77" t="s">
        <v>135</v>
      </c>
    </row>
    <row r="31" spans="1:6" ht="18">
      <c r="A31" s="96" t="s">
        <v>130</v>
      </c>
      <c r="B31" s="97">
        <v>1902</v>
      </c>
      <c r="C31" s="97">
        <v>387</v>
      </c>
      <c r="D31" s="97" t="s">
        <v>513</v>
      </c>
      <c r="E31" s="38">
        <v>2289</v>
      </c>
      <c r="F31" s="77" t="s">
        <v>131</v>
      </c>
    </row>
    <row r="32" spans="1:6" ht="18">
      <c r="A32" s="96" t="s">
        <v>132</v>
      </c>
      <c r="B32" s="97">
        <v>510</v>
      </c>
      <c r="C32" s="97">
        <v>58</v>
      </c>
      <c r="D32" s="97" t="s">
        <v>513</v>
      </c>
      <c r="E32" s="38">
        <v>568</v>
      </c>
      <c r="F32" s="77" t="s">
        <v>133</v>
      </c>
    </row>
    <row r="33" spans="1:6" ht="18">
      <c r="A33" s="96" t="s">
        <v>136</v>
      </c>
      <c r="B33" s="97">
        <v>480</v>
      </c>
      <c r="C33" s="97">
        <v>125</v>
      </c>
      <c r="D33" s="97" t="s">
        <v>513</v>
      </c>
      <c r="E33" s="38">
        <v>605</v>
      </c>
      <c r="F33" s="77" t="s">
        <v>137</v>
      </c>
    </row>
    <row r="34" spans="1:6" ht="18">
      <c r="A34" s="98" t="s">
        <v>138</v>
      </c>
      <c r="B34" s="42">
        <v>246</v>
      </c>
      <c r="C34" s="42">
        <v>76</v>
      </c>
      <c r="D34" s="42" t="s">
        <v>513</v>
      </c>
      <c r="E34" s="40">
        <v>322</v>
      </c>
      <c r="F34" s="81" t="s">
        <v>139</v>
      </c>
    </row>
    <row r="35" spans="1:6">
      <c r="A35" s="7" t="s">
        <v>140</v>
      </c>
    </row>
  </sheetData>
  <mergeCells count="2">
    <mergeCell ref="A5:A6"/>
    <mergeCell ref="F5:F6"/>
  </mergeCells>
  <hyperlinks>
    <hyperlink ref="A1" location="'فهرس - Index'!A1" tooltip="#'فهرس - Index'!A1 - Click once to follow. Click and hold to select this cell." display="عودة للفهرس-return to Index" xr:uid="{AD1BA352-1809-4959-8D54-6F08862DBCB5}"/>
  </hyperlinks>
  <pageMargins left="0.7" right="0.7" top="0.75" bottom="0.75" header="0.3" footer="0.3"/>
  <ignoredErrors>
    <ignoredError sqref="B8:D33 D3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rightToLeft="1" workbookViewId="0">
      <selection activeCell="E18" sqref="E18"/>
    </sheetView>
  </sheetViews>
  <sheetFormatPr defaultColWidth="8.85546875" defaultRowHeight="16.5"/>
  <cols>
    <col min="1" max="1" width="11.85546875" style="7" customWidth="1"/>
    <col min="2" max="10" width="14.5703125" style="7" customWidth="1"/>
    <col min="11" max="11" width="8.85546875" style="7" customWidth="1"/>
    <col min="12" max="16384" width="8.85546875" style="7"/>
  </cols>
  <sheetData>
    <row r="1" spans="1:10">
      <c r="A1" s="163" t="s">
        <v>23</v>
      </c>
    </row>
    <row r="2" spans="1:10" ht="18">
      <c r="A2" s="5" t="s">
        <v>439</v>
      </c>
      <c r="B2" s="5"/>
      <c r="C2" s="5"/>
      <c r="D2" s="5"/>
      <c r="E2" s="5"/>
      <c r="F2" s="5"/>
      <c r="G2" s="5"/>
      <c r="H2" s="5"/>
      <c r="I2" s="5"/>
      <c r="J2" s="10" t="s">
        <v>514</v>
      </c>
    </row>
    <row r="3" spans="1:10" ht="18">
      <c r="A3" s="8" t="s">
        <v>155</v>
      </c>
      <c r="B3" s="11"/>
      <c r="C3" s="11"/>
      <c r="D3" s="11"/>
      <c r="E3" s="11"/>
      <c r="F3" s="11"/>
      <c r="G3" s="11"/>
      <c r="H3" s="11"/>
      <c r="I3" s="11"/>
      <c r="J3" s="12" t="s">
        <v>156</v>
      </c>
    </row>
    <row r="4" spans="1:10" ht="18">
      <c r="A4" s="360" t="s">
        <v>54</v>
      </c>
      <c r="B4" s="66" t="s">
        <v>157</v>
      </c>
      <c r="C4" s="66" t="s">
        <v>158</v>
      </c>
      <c r="D4" s="66" t="s">
        <v>159</v>
      </c>
      <c r="E4" s="66" t="s">
        <v>160</v>
      </c>
      <c r="F4" s="66" t="s">
        <v>161</v>
      </c>
      <c r="G4" s="66" t="s">
        <v>162</v>
      </c>
      <c r="H4" s="66" t="s">
        <v>163</v>
      </c>
      <c r="I4" s="67" t="s">
        <v>164</v>
      </c>
      <c r="J4" s="66" t="s">
        <v>146</v>
      </c>
    </row>
    <row r="5" spans="1:10" ht="18">
      <c r="A5" s="347"/>
      <c r="B5" s="82" t="s">
        <v>165</v>
      </c>
      <c r="C5" s="69">
        <v>-5</v>
      </c>
      <c r="D5" s="69">
        <v>-15</v>
      </c>
      <c r="E5" s="69">
        <v>-25</v>
      </c>
      <c r="F5" s="69">
        <v>-35</v>
      </c>
      <c r="G5" s="69">
        <v>-45</v>
      </c>
      <c r="H5" s="69">
        <v>-55</v>
      </c>
      <c r="I5" s="69" t="s">
        <v>166</v>
      </c>
      <c r="J5" s="69" t="s">
        <v>80</v>
      </c>
    </row>
    <row r="6" spans="1:10" ht="18">
      <c r="A6" s="240">
        <v>2024</v>
      </c>
      <c r="B6" s="241">
        <v>3735</v>
      </c>
      <c r="C6" s="242">
        <v>11031</v>
      </c>
      <c r="D6" s="242">
        <v>24745</v>
      </c>
      <c r="E6" s="242">
        <v>13531</v>
      </c>
      <c r="F6" s="242">
        <v>10348</v>
      </c>
      <c r="G6" s="242">
        <v>6887</v>
      </c>
      <c r="H6" s="242">
        <v>4081</v>
      </c>
      <c r="I6" s="243">
        <v>2004</v>
      </c>
      <c r="J6" s="85">
        <v>76362</v>
      </c>
    </row>
    <row r="7" spans="1:10" ht="18">
      <c r="A7" s="169">
        <v>2023</v>
      </c>
      <c r="B7" s="241">
        <v>5337</v>
      </c>
      <c r="C7" s="166">
        <v>9944</v>
      </c>
      <c r="D7" s="166">
        <v>21151</v>
      </c>
      <c r="E7" s="166">
        <v>12654</v>
      </c>
      <c r="F7" s="166">
        <v>9859</v>
      </c>
      <c r="G7" s="166">
        <v>6228</v>
      </c>
      <c r="H7" s="166">
        <v>3716</v>
      </c>
      <c r="I7" s="166">
        <v>2127</v>
      </c>
      <c r="J7" s="75">
        <f>SUM(B7:I7)</f>
        <v>71016</v>
      </c>
    </row>
    <row r="8" spans="1:10" ht="18">
      <c r="A8" s="169">
        <v>2022</v>
      </c>
      <c r="B8" s="241">
        <v>5967</v>
      </c>
      <c r="C8" s="166">
        <v>7042</v>
      </c>
      <c r="D8" s="166">
        <v>15881</v>
      </c>
      <c r="E8" s="166">
        <v>10098</v>
      </c>
      <c r="F8" s="166">
        <v>7717</v>
      </c>
      <c r="G8" s="166">
        <v>4643</v>
      </c>
      <c r="H8" s="166">
        <v>2810</v>
      </c>
      <c r="I8" s="166">
        <v>1833</v>
      </c>
      <c r="J8" s="75">
        <f>SUM(B8:I8)</f>
        <v>55991</v>
      </c>
    </row>
    <row r="9" spans="1:10" ht="18">
      <c r="A9" s="169">
        <v>2021</v>
      </c>
      <c r="B9" s="244">
        <v>4414</v>
      </c>
      <c r="C9" s="166">
        <v>6888</v>
      </c>
      <c r="D9" s="166">
        <v>14703</v>
      </c>
      <c r="E9" s="166">
        <v>10134</v>
      </c>
      <c r="F9" s="166">
        <v>7156</v>
      </c>
      <c r="G9" s="166">
        <v>4445</v>
      </c>
      <c r="H9" s="166">
        <v>2593</v>
      </c>
      <c r="I9" s="166">
        <v>1178</v>
      </c>
      <c r="J9" s="75">
        <f t="shared" ref="J9:J10" si="0">SUM(B9:I9)</f>
        <v>51511</v>
      </c>
    </row>
    <row r="10" spans="1:10" ht="18">
      <c r="A10" s="170">
        <v>2020</v>
      </c>
      <c r="B10" s="167">
        <v>4176</v>
      </c>
      <c r="C10" s="168">
        <v>7487</v>
      </c>
      <c r="D10" s="168">
        <v>16329</v>
      </c>
      <c r="E10" s="168">
        <v>11568</v>
      </c>
      <c r="F10" s="168">
        <v>8188</v>
      </c>
      <c r="G10" s="168">
        <v>4935</v>
      </c>
      <c r="H10" s="168">
        <v>2830</v>
      </c>
      <c r="I10" s="168">
        <v>1276</v>
      </c>
      <c r="J10" s="89">
        <f t="shared" si="0"/>
        <v>56789</v>
      </c>
    </row>
  </sheetData>
  <mergeCells count="1">
    <mergeCell ref="A4:A5"/>
  </mergeCells>
  <hyperlinks>
    <hyperlink ref="A1" location="'فهرس - Index'!A1" tooltip="#'فهرس - Index'!A1 - Click once to follow. Click and hold to select this cell." display="عودة للفهرس-return to Index" xr:uid="{B89EC8AF-C56A-48C6-8C99-4C1D5CE26407}"/>
  </hyperlinks>
  <pageMargins left="0.7" right="0.7" top="0.75" bottom="0.75" header="0.3" footer="0.3"/>
  <ignoredErrors>
    <ignoredError sqref="J7:J1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4"/>
  <sheetViews>
    <sheetView rightToLeft="1" topLeftCell="A9" workbookViewId="0">
      <selection activeCell="H15" sqref="H15"/>
    </sheetView>
  </sheetViews>
  <sheetFormatPr defaultColWidth="8.85546875" defaultRowHeight="16.5"/>
  <cols>
    <col min="1" max="11" width="14.5703125" style="7" customWidth="1"/>
    <col min="12" max="12" width="8.85546875" style="7" customWidth="1"/>
    <col min="13" max="16384" width="8.85546875" style="7"/>
  </cols>
  <sheetData>
    <row r="1" spans="1:11">
      <c r="A1" s="163" t="s">
        <v>23</v>
      </c>
    </row>
    <row r="2" spans="1:11" ht="18">
      <c r="A2" s="5" t="s">
        <v>451</v>
      </c>
      <c r="B2" s="5"/>
      <c r="C2" s="5"/>
      <c r="D2" s="5"/>
      <c r="E2" s="5"/>
      <c r="F2" s="5"/>
      <c r="G2" s="5"/>
      <c r="H2" s="5"/>
      <c r="I2" s="5"/>
      <c r="J2" s="5"/>
      <c r="K2" s="6" t="s">
        <v>479</v>
      </c>
    </row>
    <row r="3" spans="1:11" ht="18">
      <c r="A3" s="8" t="s">
        <v>167</v>
      </c>
      <c r="B3" s="6"/>
      <c r="C3" s="6"/>
      <c r="D3" s="6"/>
      <c r="E3" s="6"/>
      <c r="F3" s="6"/>
      <c r="G3" s="6"/>
      <c r="H3" s="6"/>
      <c r="I3" s="6"/>
      <c r="J3" s="6"/>
      <c r="K3" s="9" t="s">
        <v>168</v>
      </c>
    </row>
    <row r="4" spans="1:11" ht="18">
      <c r="A4" s="360" t="s">
        <v>83</v>
      </c>
      <c r="B4" s="66" t="s">
        <v>157</v>
      </c>
      <c r="C4" s="66" t="s">
        <v>158</v>
      </c>
      <c r="D4" s="66" t="s">
        <v>159</v>
      </c>
      <c r="E4" s="66" t="s">
        <v>160</v>
      </c>
      <c r="F4" s="66" t="s">
        <v>161</v>
      </c>
      <c r="G4" s="66" t="s">
        <v>162</v>
      </c>
      <c r="H4" s="66" t="s">
        <v>163</v>
      </c>
      <c r="I4" s="67" t="s">
        <v>164</v>
      </c>
      <c r="J4" s="66" t="s">
        <v>146</v>
      </c>
      <c r="K4" s="363" t="s">
        <v>84</v>
      </c>
    </row>
    <row r="5" spans="1:11" ht="18">
      <c r="A5" s="347"/>
      <c r="B5" s="68" t="s">
        <v>165</v>
      </c>
      <c r="C5" s="69">
        <v>-5</v>
      </c>
      <c r="D5" s="69">
        <v>-15</v>
      </c>
      <c r="E5" s="69">
        <v>-25</v>
      </c>
      <c r="F5" s="69">
        <v>-35</v>
      </c>
      <c r="G5" s="69">
        <v>-45</v>
      </c>
      <c r="H5" s="69">
        <v>-55</v>
      </c>
      <c r="I5" s="69" t="s">
        <v>166</v>
      </c>
      <c r="J5" s="69" t="s">
        <v>80</v>
      </c>
      <c r="K5" s="364"/>
    </row>
    <row r="6" spans="1:11" ht="18">
      <c r="A6" s="70" t="s">
        <v>85</v>
      </c>
      <c r="B6" s="71">
        <v>3735</v>
      </c>
      <c r="C6" s="71">
        <v>11031</v>
      </c>
      <c r="D6" s="71">
        <v>24745</v>
      </c>
      <c r="E6" s="71">
        <v>13531</v>
      </c>
      <c r="F6" s="71">
        <v>10348</v>
      </c>
      <c r="G6" s="71">
        <v>6887</v>
      </c>
      <c r="H6" s="71">
        <v>4081</v>
      </c>
      <c r="I6" s="71">
        <v>2004</v>
      </c>
      <c r="J6" s="71">
        <v>76362</v>
      </c>
      <c r="K6" s="72" t="s">
        <v>80</v>
      </c>
    </row>
    <row r="7" spans="1:11" ht="18">
      <c r="A7" s="73" t="s">
        <v>86</v>
      </c>
      <c r="B7" s="74">
        <v>203</v>
      </c>
      <c r="C7" s="74">
        <v>38</v>
      </c>
      <c r="D7" s="74">
        <v>214</v>
      </c>
      <c r="E7" s="74">
        <v>208</v>
      </c>
      <c r="F7" s="74">
        <v>142</v>
      </c>
      <c r="G7" s="74">
        <v>66</v>
      </c>
      <c r="H7" s="74">
        <v>40</v>
      </c>
      <c r="I7" s="74">
        <v>23</v>
      </c>
      <c r="J7" s="75">
        <v>934</v>
      </c>
      <c r="K7" s="76" t="s">
        <v>87</v>
      </c>
    </row>
    <row r="8" spans="1:11" ht="18">
      <c r="A8" s="73" t="s">
        <v>88</v>
      </c>
      <c r="B8" s="74">
        <v>45</v>
      </c>
      <c r="C8" s="74">
        <v>244</v>
      </c>
      <c r="D8" s="74">
        <v>779</v>
      </c>
      <c r="E8" s="74">
        <v>618</v>
      </c>
      <c r="F8" s="74">
        <v>555</v>
      </c>
      <c r="G8" s="74">
        <v>361</v>
      </c>
      <c r="H8" s="74">
        <v>233</v>
      </c>
      <c r="I8" s="74">
        <v>145</v>
      </c>
      <c r="J8" s="75">
        <v>2980</v>
      </c>
      <c r="K8" s="77" t="s">
        <v>89</v>
      </c>
    </row>
    <row r="9" spans="1:11" ht="18">
      <c r="A9" s="73" t="s">
        <v>90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5">
        <v>0</v>
      </c>
      <c r="K9" s="77" t="s">
        <v>91</v>
      </c>
    </row>
    <row r="10" spans="1:11" ht="18">
      <c r="A10" s="73" t="s">
        <v>92</v>
      </c>
      <c r="B10" s="74">
        <v>2</v>
      </c>
      <c r="C10" s="74">
        <v>4</v>
      </c>
      <c r="D10" s="74">
        <v>15</v>
      </c>
      <c r="E10" s="74">
        <v>8</v>
      </c>
      <c r="F10" s="74">
        <v>4</v>
      </c>
      <c r="G10" s="74">
        <v>4</v>
      </c>
      <c r="H10" s="74">
        <v>0</v>
      </c>
      <c r="I10" s="74">
        <v>2</v>
      </c>
      <c r="J10" s="75">
        <v>39</v>
      </c>
      <c r="K10" s="77" t="s">
        <v>93</v>
      </c>
    </row>
    <row r="11" spans="1:11" ht="18">
      <c r="A11" s="73" t="s">
        <v>96</v>
      </c>
      <c r="B11" s="74">
        <v>242</v>
      </c>
      <c r="C11" s="74">
        <v>1033</v>
      </c>
      <c r="D11" s="74">
        <v>2590</v>
      </c>
      <c r="E11" s="74">
        <v>911</v>
      </c>
      <c r="F11" s="74">
        <v>710</v>
      </c>
      <c r="G11" s="74">
        <v>575</v>
      </c>
      <c r="H11" s="74">
        <v>350</v>
      </c>
      <c r="I11" s="74">
        <v>195</v>
      </c>
      <c r="J11" s="75">
        <v>6606</v>
      </c>
      <c r="K11" s="77" t="s">
        <v>97</v>
      </c>
    </row>
    <row r="12" spans="1:11" ht="18">
      <c r="A12" s="73" t="s">
        <v>98</v>
      </c>
      <c r="B12" s="74">
        <v>495</v>
      </c>
      <c r="C12" s="74">
        <v>2470</v>
      </c>
      <c r="D12" s="74">
        <v>5793</v>
      </c>
      <c r="E12" s="74">
        <v>2321</v>
      </c>
      <c r="F12" s="74">
        <v>1899</v>
      </c>
      <c r="G12" s="74">
        <v>1270</v>
      </c>
      <c r="H12" s="74">
        <v>878</v>
      </c>
      <c r="I12" s="74">
        <v>437</v>
      </c>
      <c r="J12" s="75">
        <v>15563</v>
      </c>
      <c r="K12" s="77" t="s">
        <v>99</v>
      </c>
    </row>
    <row r="13" spans="1:11" ht="18">
      <c r="A13" s="73" t="s">
        <v>100</v>
      </c>
      <c r="B13" s="74">
        <v>283</v>
      </c>
      <c r="C13" s="74">
        <v>958</v>
      </c>
      <c r="D13" s="74">
        <v>2833</v>
      </c>
      <c r="E13" s="74">
        <v>1817</v>
      </c>
      <c r="F13" s="74">
        <v>1463</v>
      </c>
      <c r="G13" s="74">
        <v>895</v>
      </c>
      <c r="H13" s="74">
        <v>504</v>
      </c>
      <c r="I13" s="74">
        <v>211</v>
      </c>
      <c r="J13" s="75">
        <v>8964</v>
      </c>
      <c r="K13" s="77" t="s">
        <v>101</v>
      </c>
    </row>
    <row r="14" spans="1:11" ht="18">
      <c r="A14" s="73" t="s">
        <v>102</v>
      </c>
      <c r="B14" s="74">
        <v>10</v>
      </c>
      <c r="C14" s="74">
        <v>73</v>
      </c>
      <c r="D14" s="74">
        <v>156</v>
      </c>
      <c r="E14" s="74">
        <v>126</v>
      </c>
      <c r="F14" s="74">
        <v>81</v>
      </c>
      <c r="G14" s="74">
        <v>62</v>
      </c>
      <c r="H14" s="74">
        <v>22</v>
      </c>
      <c r="I14" s="74">
        <v>11</v>
      </c>
      <c r="J14" s="75">
        <v>541</v>
      </c>
      <c r="K14" s="77" t="s">
        <v>103</v>
      </c>
    </row>
    <row r="15" spans="1:11" ht="18">
      <c r="A15" s="73" t="s">
        <v>104</v>
      </c>
      <c r="B15" s="74">
        <v>209</v>
      </c>
      <c r="C15" s="74">
        <v>680</v>
      </c>
      <c r="D15" s="74">
        <v>1407</v>
      </c>
      <c r="E15" s="74">
        <v>750</v>
      </c>
      <c r="F15" s="74">
        <v>541</v>
      </c>
      <c r="G15" s="74">
        <v>380</v>
      </c>
      <c r="H15" s="74">
        <v>264</v>
      </c>
      <c r="I15" s="74">
        <v>104</v>
      </c>
      <c r="J15" s="75">
        <v>4335</v>
      </c>
      <c r="K15" s="77" t="s">
        <v>105</v>
      </c>
    </row>
    <row r="16" spans="1:11" ht="18">
      <c r="A16" s="73" t="s">
        <v>106</v>
      </c>
      <c r="B16" s="74">
        <v>214</v>
      </c>
      <c r="C16" s="74">
        <v>735</v>
      </c>
      <c r="D16" s="74">
        <v>1817</v>
      </c>
      <c r="E16" s="74">
        <v>894</v>
      </c>
      <c r="F16" s="74">
        <v>676</v>
      </c>
      <c r="G16" s="74">
        <v>491</v>
      </c>
      <c r="H16" s="74">
        <v>338</v>
      </c>
      <c r="I16" s="74">
        <v>194</v>
      </c>
      <c r="J16" s="75">
        <v>5359</v>
      </c>
      <c r="K16" s="77" t="s">
        <v>107</v>
      </c>
    </row>
    <row r="17" spans="1:11" ht="18">
      <c r="A17" s="73" t="s">
        <v>108</v>
      </c>
      <c r="B17" s="74">
        <v>202</v>
      </c>
      <c r="C17" s="74">
        <v>243</v>
      </c>
      <c r="D17" s="74">
        <v>520</v>
      </c>
      <c r="E17" s="74">
        <v>448</v>
      </c>
      <c r="F17" s="74">
        <v>286</v>
      </c>
      <c r="G17" s="74">
        <v>189</v>
      </c>
      <c r="H17" s="74">
        <v>111</v>
      </c>
      <c r="I17" s="74">
        <v>34</v>
      </c>
      <c r="J17" s="75">
        <v>2033</v>
      </c>
      <c r="K17" s="77" t="s">
        <v>109</v>
      </c>
    </row>
    <row r="18" spans="1:11" ht="18">
      <c r="A18" s="73" t="s">
        <v>110</v>
      </c>
      <c r="B18" s="74">
        <v>726</v>
      </c>
      <c r="C18" s="74">
        <v>856</v>
      </c>
      <c r="D18" s="74">
        <v>1411</v>
      </c>
      <c r="E18" s="74">
        <v>935</v>
      </c>
      <c r="F18" s="74">
        <v>752</v>
      </c>
      <c r="G18" s="74">
        <v>583</v>
      </c>
      <c r="H18" s="74">
        <v>280</v>
      </c>
      <c r="I18" s="74">
        <v>143</v>
      </c>
      <c r="J18" s="75">
        <v>5686</v>
      </c>
      <c r="K18" s="77" t="s">
        <v>111</v>
      </c>
    </row>
    <row r="19" spans="1:11" ht="18">
      <c r="A19" s="73" t="s">
        <v>94</v>
      </c>
      <c r="B19" s="74">
        <v>10</v>
      </c>
      <c r="C19" s="74">
        <v>31</v>
      </c>
      <c r="D19" s="74">
        <v>60</v>
      </c>
      <c r="E19" s="74">
        <v>43</v>
      </c>
      <c r="F19" s="74">
        <v>27</v>
      </c>
      <c r="G19" s="74">
        <v>20</v>
      </c>
      <c r="H19" s="74">
        <v>3</v>
      </c>
      <c r="I19" s="74">
        <v>5</v>
      </c>
      <c r="J19" s="75">
        <v>199</v>
      </c>
      <c r="K19" s="77" t="s">
        <v>95</v>
      </c>
    </row>
    <row r="20" spans="1:11" ht="18">
      <c r="A20" s="73" t="s">
        <v>112</v>
      </c>
      <c r="B20" s="74">
        <v>137</v>
      </c>
      <c r="C20" s="74">
        <v>443</v>
      </c>
      <c r="D20" s="74">
        <v>1198</v>
      </c>
      <c r="E20" s="74">
        <v>897</v>
      </c>
      <c r="F20" s="74">
        <v>653</v>
      </c>
      <c r="G20" s="74">
        <v>431</v>
      </c>
      <c r="H20" s="74">
        <v>169</v>
      </c>
      <c r="I20" s="74">
        <v>111</v>
      </c>
      <c r="J20" s="75">
        <v>4039</v>
      </c>
      <c r="K20" s="77" t="s">
        <v>113</v>
      </c>
    </row>
    <row r="21" spans="1:11" ht="18">
      <c r="A21" s="73" t="s">
        <v>114</v>
      </c>
      <c r="B21" s="74">
        <v>60</v>
      </c>
      <c r="C21" s="74">
        <v>126</v>
      </c>
      <c r="D21" s="74">
        <v>398</v>
      </c>
      <c r="E21" s="74">
        <v>224</v>
      </c>
      <c r="F21" s="74">
        <v>195</v>
      </c>
      <c r="G21" s="74">
        <v>98</v>
      </c>
      <c r="H21" s="74">
        <v>56</v>
      </c>
      <c r="I21" s="74">
        <v>18</v>
      </c>
      <c r="J21" s="75">
        <v>1175</v>
      </c>
      <c r="K21" s="77" t="s">
        <v>115</v>
      </c>
    </row>
    <row r="22" spans="1:11" ht="18">
      <c r="A22" s="73" t="s">
        <v>116</v>
      </c>
      <c r="B22" s="74">
        <v>6</v>
      </c>
      <c r="C22" s="74">
        <v>33</v>
      </c>
      <c r="D22" s="74">
        <v>52</v>
      </c>
      <c r="E22" s="74">
        <v>36</v>
      </c>
      <c r="F22" s="74">
        <v>20</v>
      </c>
      <c r="G22" s="74">
        <v>16</v>
      </c>
      <c r="H22" s="74">
        <v>8</v>
      </c>
      <c r="I22" s="74">
        <v>8</v>
      </c>
      <c r="J22" s="75">
        <v>179</v>
      </c>
      <c r="K22" s="77" t="s">
        <v>117</v>
      </c>
    </row>
    <row r="23" spans="1:11" ht="18">
      <c r="A23" s="73" t="s">
        <v>118</v>
      </c>
      <c r="B23" s="74">
        <v>50</v>
      </c>
      <c r="C23" s="74">
        <v>72</v>
      </c>
      <c r="D23" s="74">
        <v>223</v>
      </c>
      <c r="E23" s="74">
        <v>160</v>
      </c>
      <c r="F23" s="74">
        <v>108</v>
      </c>
      <c r="G23" s="74">
        <v>87</v>
      </c>
      <c r="H23" s="74">
        <v>45</v>
      </c>
      <c r="I23" s="74">
        <v>19</v>
      </c>
      <c r="J23" s="75">
        <v>764</v>
      </c>
      <c r="K23" s="77" t="s">
        <v>119</v>
      </c>
    </row>
    <row r="24" spans="1:11" ht="18">
      <c r="A24" s="73" t="s">
        <v>120</v>
      </c>
      <c r="B24" s="74">
        <v>234</v>
      </c>
      <c r="C24" s="74">
        <v>983</v>
      </c>
      <c r="D24" s="74">
        <v>1428</v>
      </c>
      <c r="E24" s="74">
        <v>878</v>
      </c>
      <c r="F24" s="74">
        <v>714</v>
      </c>
      <c r="G24" s="74">
        <v>393</v>
      </c>
      <c r="H24" s="74">
        <v>233</v>
      </c>
      <c r="I24" s="74">
        <v>115</v>
      </c>
      <c r="J24" s="75">
        <v>4978</v>
      </c>
      <c r="K24" s="77" t="s">
        <v>121</v>
      </c>
    </row>
    <row r="25" spans="1:11" ht="18">
      <c r="A25" s="73" t="s">
        <v>122</v>
      </c>
      <c r="B25" s="74">
        <v>284</v>
      </c>
      <c r="C25" s="74">
        <v>1097</v>
      </c>
      <c r="D25" s="74">
        <v>1821</v>
      </c>
      <c r="E25" s="74">
        <v>817</v>
      </c>
      <c r="F25" s="74">
        <v>524</v>
      </c>
      <c r="G25" s="74">
        <v>350</v>
      </c>
      <c r="H25" s="74">
        <v>251</v>
      </c>
      <c r="I25" s="74">
        <v>101</v>
      </c>
      <c r="J25" s="75">
        <v>5245</v>
      </c>
      <c r="K25" s="77" t="s">
        <v>123</v>
      </c>
    </row>
    <row r="26" spans="1:11" ht="18">
      <c r="A26" s="73" t="s">
        <v>124</v>
      </c>
      <c r="B26" s="74">
        <v>39</v>
      </c>
      <c r="C26" s="74">
        <v>121</v>
      </c>
      <c r="D26" s="74">
        <v>309</v>
      </c>
      <c r="E26" s="74">
        <v>173</v>
      </c>
      <c r="F26" s="74">
        <v>105</v>
      </c>
      <c r="G26" s="74">
        <v>107</v>
      </c>
      <c r="H26" s="74">
        <v>52</v>
      </c>
      <c r="I26" s="74">
        <v>18</v>
      </c>
      <c r="J26" s="75">
        <v>924</v>
      </c>
      <c r="K26" s="77" t="s">
        <v>125</v>
      </c>
    </row>
    <row r="27" spans="1:11" ht="18">
      <c r="A27" s="73" t="s">
        <v>126</v>
      </c>
      <c r="B27" s="74">
        <v>2</v>
      </c>
      <c r="C27" s="74">
        <v>10</v>
      </c>
      <c r="D27" s="74">
        <v>37</v>
      </c>
      <c r="E27" s="74">
        <v>24</v>
      </c>
      <c r="F27" s="74">
        <v>13</v>
      </c>
      <c r="G27" s="74">
        <v>12</v>
      </c>
      <c r="H27" s="74">
        <v>8</v>
      </c>
      <c r="I27" s="74">
        <v>1</v>
      </c>
      <c r="J27" s="75">
        <v>107</v>
      </c>
      <c r="K27" s="77" t="s">
        <v>127</v>
      </c>
    </row>
    <row r="28" spans="1:11" ht="18">
      <c r="A28" s="73" t="s">
        <v>128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5">
        <v>0</v>
      </c>
      <c r="K28" s="77" t="s">
        <v>129</v>
      </c>
    </row>
    <row r="29" spans="1:11" ht="18">
      <c r="A29" s="73" t="s">
        <v>130</v>
      </c>
      <c r="B29" s="74">
        <v>79</v>
      </c>
      <c r="C29" s="74">
        <v>254</v>
      </c>
      <c r="D29" s="74">
        <v>685</v>
      </c>
      <c r="E29" s="74">
        <v>546</v>
      </c>
      <c r="F29" s="74">
        <v>409</v>
      </c>
      <c r="G29" s="74">
        <v>200</v>
      </c>
      <c r="H29" s="74">
        <v>89</v>
      </c>
      <c r="I29" s="74">
        <v>27</v>
      </c>
      <c r="J29" s="75">
        <v>2289</v>
      </c>
      <c r="K29" s="77" t="s">
        <v>131</v>
      </c>
    </row>
    <row r="30" spans="1:11" ht="18">
      <c r="A30" s="73" t="s">
        <v>132</v>
      </c>
      <c r="B30" s="74">
        <v>13</v>
      </c>
      <c r="C30" s="74">
        <v>66</v>
      </c>
      <c r="D30" s="74">
        <v>191</v>
      </c>
      <c r="E30" s="74">
        <v>114</v>
      </c>
      <c r="F30" s="74">
        <v>77</v>
      </c>
      <c r="G30" s="74">
        <v>62</v>
      </c>
      <c r="H30" s="74">
        <v>32</v>
      </c>
      <c r="I30" s="74">
        <v>13</v>
      </c>
      <c r="J30" s="75">
        <v>568</v>
      </c>
      <c r="K30" s="77" t="s">
        <v>133</v>
      </c>
    </row>
    <row r="31" spans="1:11" ht="18">
      <c r="A31" s="73" t="s">
        <v>134</v>
      </c>
      <c r="B31" s="74">
        <v>102</v>
      </c>
      <c r="C31" s="74">
        <v>322</v>
      </c>
      <c r="D31" s="74">
        <v>566</v>
      </c>
      <c r="E31" s="74">
        <v>417</v>
      </c>
      <c r="F31" s="74">
        <v>257</v>
      </c>
      <c r="G31" s="74">
        <v>141</v>
      </c>
      <c r="H31" s="74">
        <v>73</v>
      </c>
      <c r="I31" s="74">
        <v>50</v>
      </c>
      <c r="J31" s="75">
        <v>1928</v>
      </c>
      <c r="K31" s="77" t="s">
        <v>135</v>
      </c>
    </row>
    <row r="32" spans="1:11" ht="18">
      <c r="A32" s="73" t="s">
        <v>136</v>
      </c>
      <c r="B32" s="74">
        <v>71</v>
      </c>
      <c r="C32" s="74">
        <v>115</v>
      </c>
      <c r="D32" s="74">
        <v>164</v>
      </c>
      <c r="E32" s="74">
        <v>92</v>
      </c>
      <c r="F32" s="74">
        <v>78</v>
      </c>
      <c r="G32" s="74">
        <v>52</v>
      </c>
      <c r="H32" s="74">
        <v>23</v>
      </c>
      <c r="I32" s="74">
        <v>10</v>
      </c>
      <c r="J32" s="75">
        <v>605</v>
      </c>
      <c r="K32" s="77" t="s">
        <v>137</v>
      </c>
    </row>
    <row r="33" spans="1:11" ht="18">
      <c r="A33" s="78" t="s">
        <v>138</v>
      </c>
      <c r="B33" s="79">
        <v>17</v>
      </c>
      <c r="C33" s="79">
        <v>24</v>
      </c>
      <c r="D33" s="79">
        <v>78</v>
      </c>
      <c r="E33" s="79">
        <v>74</v>
      </c>
      <c r="F33" s="79">
        <v>59</v>
      </c>
      <c r="G33" s="79">
        <v>42</v>
      </c>
      <c r="H33" s="79">
        <v>19</v>
      </c>
      <c r="I33" s="79">
        <v>9</v>
      </c>
      <c r="J33" s="80">
        <v>322</v>
      </c>
      <c r="K33" s="81" t="s">
        <v>139</v>
      </c>
    </row>
    <row r="34" spans="1:11">
      <c r="A34" s="7" t="s">
        <v>140</v>
      </c>
    </row>
  </sheetData>
  <mergeCells count="2">
    <mergeCell ref="K4:K5"/>
    <mergeCell ref="A4:A5"/>
  </mergeCells>
  <hyperlinks>
    <hyperlink ref="A1" location="'فهرس - Index'!A1" tooltip="#'فهرس - Index'!A1 - Click once to follow. Click and hold to select this cell." display="عودة للفهرس-return to Index" xr:uid="{8D12A239-21D0-44BC-B666-B55712C2E51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rightToLeft="1" workbookViewId="0">
      <selection activeCell="E19" sqref="E19"/>
    </sheetView>
  </sheetViews>
  <sheetFormatPr defaultColWidth="8.85546875" defaultRowHeight="16.5"/>
  <cols>
    <col min="1" max="1" width="17.85546875" style="3" customWidth="1"/>
    <col min="2" max="2" width="29.140625" style="3" customWidth="1"/>
    <col min="3" max="3" width="15.140625" style="3" customWidth="1"/>
    <col min="4" max="4" width="14.7109375" style="3" customWidth="1"/>
    <col min="5" max="5" width="29.140625" style="3" customWidth="1"/>
    <col min="6" max="6" width="21.85546875" style="3" customWidth="1"/>
    <col min="7" max="7" width="18.42578125" style="3" customWidth="1"/>
    <col min="8" max="8" width="8.85546875" style="3" customWidth="1"/>
    <col min="9" max="16384" width="8.85546875" style="3"/>
  </cols>
  <sheetData>
    <row r="1" spans="1:7">
      <c r="A1" s="163" t="s">
        <v>23</v>
      </c>
    </row>
    <row r="2" spans="1:7" ht="18">
      <c r="A2" s="2" t="s">
        <v>440</v>
      </c>
      <c r="B2" s="2"/>
      <c r="C2" s="2"/>
      <c r="D2" s="2"/>
      <c r="E2" s="2"/>
      <c r="F2" s="2"/>
      <c r="G2" s="2" t="s">
        <v>490</v>
      </c>
    </row>
    <row r="3" spans="1:7" ht="18">
      <c r="A3" s="2" t="s">
        <v>169</v>
      </c>
      <c r="B3" s="2"/>
      <c r="C3" s="2"/>
      <c r="D3" s="2"/>
      <c r="E3" s="2"/>
      <c r="F3" s="2"/>
      <c r="G3" s="2" t="s">
        <v>170</v>
      </c>
    </row>
    <row r="4" spans="1:7" ht="18">
      <c r="A4" s="367" t="s">
        <v>54</v>
      </c>
      <c r="B4" s="62" t="s">
        <v>171</v>
      </c>
      <c r="C4" s="62" t="s">
        <v>172</v>
      </c>
      <c r="D4" s="62" t="s">
        <v>173</v>
      </c>
      <c r="E4" s="24" t="s">
        <v>174</v>
      </c>
      <c r="F4" s="62" t="s">
        <v>175</v>
      </c>
      <c r="G4" s="62" t="s">
        <v>146</v>
      </c>
    </row>
    <row r="5" spans="1:7" ht="31.15" customHeight="1">
      <c r="A5" s="347"/>
      <c r="B5" s="25" t="s">
        <v>176</v>
      </c>
      <c r="C5" s="1" t="s">
        <v>177</v>
      </c>
      <c r="D5" s="1" t="s">
        <v>178</v>
      </c>
      <c r="E5" s="25" t="s">
        <v>179</v>
      </c>
      <c r="F5" s="1" t="s">
        <v>180</v>
      </c>
      <c r="G5" s="1" t="s">
        <v>80</v>
      </c>
    </row>
    <row r="6" spans="1:7" ht="18">
      <c r="A6" s="50">
        <v>2024</v>
      </c>
      <c r="B6" s="50">
        <v>20752</v>
      </c>
      <c r="C6" s="50">
        <v>11190</v>
      </c>
      <c r="D6" s="50">
        <v>22845</v>
      </c>
      <c r="E6" s="50">
        <v>0</v>
      </c>
      <c r="F6" s="50">
        <v>21575</v>
      </c>
      <c r="G6" s="63">
        <v>76362</v>
      </c>
    </row>
    <row r="7" spans="1:7" ht="18">
      <c r="A7" s="51">
        <v>2023</v>
      </c>
      <c r="B7" s="51">
        <v>17553</v>
      </c>
      <c r="C7" s="51">
        <v>11355</v>
      </c>
      <c r="D7" s="51">
        <v>22454</v>
      </c>
      <c r="E7" s="51">
        <v>0</v>
      </c>
      <c r="F7" s="51">
        <v>19654</v>
      </c>
      <c r="G7" s="64">
        <v>71016</v>
      </c>
    </row>
    <row r="8" spans="1:7" ht="18">
      <c r="A8" s="51">
        <v>2022</v>
      </c>
      <c r="B8" s="51">
        <v>15580</v>
      </c>
      <c r="C8" s="51">
        <v>9645</v>
      </c>
      <c r="D8" s="51">
        <v>16607</v>
      </c>
      <c r="E8" s="51">
        <v>751</v>
      </c>
      <c r="F8" s="51">
        <v>13408</v>
      </c>
      <c r="G8" s="64">
        <v>55991</v>
      </c>
    </row>
    <row r="9" spans="1:7" ht="18">
      <c r="A9" s="51">
        <v>2021</v>
      </c>
      <c r="B9" s="51">
        <v>12948</v>
      </c>
      <c r="C9" s="51">
        <v>9193</v>
      </c>
      <c r="D9" s="51">
        <v>17805</v>
      </c>
      <c r="E9" s="51">
        <v>905</v>
      </c>
      <c r="F9" s="51">
        <v>10660</v>
      </c>
      <c r="G9" s="64">
        <v>51511</v>
      </c>
    </row>
    <row r="10" spans="1:7" ht="18">
      <c r="A10" s="52">
        <v>2020</v>
      </c>
      <c r="B10" s="52">
        <v>14796</v>
      </c>
      <c r="C10" s="52">
        <v>10064</v>
      </c>
      <c r="D10" s="52">
        <v>18017</v>
      </c>
      <c r="E10" s="52">
        <v>813</v>
      </c>
      <c r="F10" s="52">
        <v>13099</v>
      </c>
      <c r="G10" s="61">
        <v>56789</v>
      </c>
    </row>
  </sheetData>
  <mergeCells count="1">
    <mergeCell ref="A4:A5"/>
  </mergeCells>
  <hyperlinks>
    <hyperlink ref="A1" location="'فهرس - Index'!A1" tooltip="#'فهرس - Index'!A1 - Click once to follow. Click and hold to select this cell." display="عودة للفهرس-return to Index" xr:uid="{7B019D7B-4337-4AFE-A70F-AF64F8C749CC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4"/>
  <sheetViews>
    <sheetView rightToLeft="1" workbookViewId="0">
      <selection activeCell="B12" sqref="B12"/>
    </sheetView>
  </sheetViews>
  <sheetFormatPr defaultColWidth="8.85546875" defaultRowHeight="16.5"/>
  <cols>
    <col min="1" max="1" width="19.5703125" style="3" customWidth="1"/>
    <col min="2" max="3" width="28.5703125" style="3" customWidth="1"/>
    <col min="4" max="4" width="15.5703125" style="3" customWidth="1"/>
    <col min="5" max="5" width="22.85546875" style="3" customWidth="1"/>
    <col min="6" max="6" width="27.5703125" style="3" customWidth="1"/>
    <col min="7" max="7" width="19.5703125" style="3" customWidth="1"/>
    <col min="8" max="8" width="8.85546875" style="3" customWidth="1"/>
    <col min="9" max="16384" width="8.85546875" style="3"/>
  </cols>
  <sheetData>
    <row r="1" spans="1:7">
      <c r="A1" s="163" t="s">
        <v>23</v>
      </c>
    </row>
    <row r="2" spans="1:7" ht="18">
      <c r="A2" s="2" t="s">
        <v>452</v>
      </c>
      <c r="B2" s="2"/>
      <c r="C2" s="2"/>
      <c r="D2" s="2"/>
      <c r="E2" s="2"/>
      <c r="F2" s="2"/>
      <c r="G2" s="2" t="s">
        <v>480</v>
      </c>
    </row>
    <row r="3" spans="1:7" ht="18">
      <c r="A3" s="2" t="s">
        <v>181</v>
      </c>
      <c r="B3" s="2"/>
      <c r="C3" s="2"/>
      <c r="D3" s="2"/>
      <c r="E3" s="2"/>
      <c r="F3" s="2"/>
      <c r="G3" s="2" t="s">
        <v>182</v>
      </c>
    </row>
    <row r="4" spans="1:7" ht="19.149999999999999" customHeight="1">
      <c r="A4" s="368" t="s">
        <v>83</v>
      </c>
      <c r="B4" s="43" t="s">
        <v>171</v>
      </c>
      <c r="C4" s="24" t="s">
        <v>172</v>
      </c>
      <c r="D4" s="24" t="s">
        <v>173</v>
      </c>
      <c r="E4" s="24" t="s">
        <v>175</v>
      </c>
      <c r="F4" s="24" t="s">
        <v>85</v>
      </c>
      <c r="G4" s="369" t="s">
        <v>84</v>
      </c>
    </row>
    <row r="5" spans="1:7" ht="36" customHeight="1">
      <c r="A5" s="347"/>
      <c r="B5" s="44" t="s">
        <v>176</v>
      </c>
      <c r="C5" s="25" t="s">
        <v>177</v>
      </c>
      <c r="D5" s="25" t="s">
        <v>183</v>
      </c>
      <c r="E5" s="25" t="s">
        <v>180</v>
      </c>
      <c r="F5" s="25" t="s">
        <v>80</v>
      </c>
      <c r="G5" s="364"/>
    </row>
    <row r="6" spans="1:7" ht="18">
      <c r="A6" s="59" t="s">
        <v>85</v>
      </c>
      <c r="B6" s="60">
        <v>20752</v>
      </c>
      <c r="C6" s="60">
        <v>11190</v>
      </c>
      <c r="D6" s="60">
        <v>22845</v>
      </c>
      <c r="E6" s="60">
        <v>21575</v>
      </c>
      <c r="F6" s="60">
        <v>76362</v>
      </c>
      <c r="G6" s="59" t="s">
        <v>80</v>
      </c>
    </row>
    <row r="7" spans="1:7" ht="18">
      <c r="A7" s="31" t="s">
        <v>86</v>
      </c>
      <c r="B7" s="32">
        <v>267</v>
      </c>
      <c r="C7" s="32">
        <v>74</v>
      </c>
      <c r="D7" s="32">
        <v>80</v>
      </c>
      <c r="E7" s="32">
        <v>513</v>
      </c>
      <c r="F7" s="33">
        <v>934</v>
      </c>
      <c r="G7" s="31" t="s">
        <v>87</v>
      </c>
    </row>
    <row r="8" spans="1:7" ht="18">
      <c r="A8" s="31" t="s">
        <v>88</v>
      </c>
      <c r="B8" s="32">
        <v>1122</v>
      </c>
      <c r="C8" s="32">
        <v>119</v>
      </c>
      <c r="D8" s="32">
        <v>1537</v>
      </c>
      <c r="E8" s="32">
        <v>202</v>
      </c>
      <c r="F8" s="33">
        <v>2980</v>
      </c>
      <c r="G8" s="31" t="s">
        <v>89</v>
      </c>
    </row>
    <row r="9" spans="1:7" ht="18">
      <c r="A9" s="31" t="s">
        <v>90</v>
      </c>
      <c r="B9" s="32">
        <v>0</v>
      </c>
      <c r="C9" s="32">
        <v>0</v>
      </c>
      <c r="D9" s="32">
        <v>0</v>
      </c>
      <c r="E9" s="32">
        <v>0</v>
      </c>
      <c r="F9" s="33">
        <v>0</v>
      </c>
      <c r="G9" s="31" t="s">
        <v>91</v>
      </c>
    </row>
    <row r="10" spans="1:7" ht="18">
      <c r="A10" s="31" t="s">
        <v>92</v>
      </c>
      <c r="B10" s="32">
        <v>17</v>
      </c>
      <c r="C10" s="32">
        <v>6</v>
      </c>
      <c r="D10" s="32">
        <v>16</v>
      </c>
      <c r="E10" s="32">
        <v>0</v>
      </c>
      <c r="F10" s="33">
        <v>39</v>
      </c>
      <c r="G10" s="31" t="s">
        <v>93</v>
      </c>
    </row>
    <row r="11" spans="1:7" ht="18">
      <c r="A11" s="31" t="s">
        <v>96</v>
      </c>
      <c r="B11" s="32">
        <v>2812</v>
      </c>
      <c r="C11" s="32">
        <v>1017</v>
      </c>
      <c r="D11" s="32">
        <v>604</v>
      </c>
      <c r="E11" s="32">
        <v>2173</v>
      </c>
      <c r="F11" s="33">
        <v>6606</v>
      </c>
      <c r="G11" s="31" t="s">
        <v>97</v>
      </c>
    </row>
    <row r="12" spans="1:7" ht="18">
      <c r="A12" s="31" t="s">
        <v>98</v>
      </c>
      <c r="B12" s="32">
        <v>5565</v>
      </c>
      <c r="C12" s="32">
        <v>2540</v>
      </c>
      <c r="D12" s="32">
        <v>6367</v>
      </c>
      <c r="E12" s="32">
        <v>1091</v>
      </c>
      <c r="F12" s="33">
        <v>15563</v>
      </c>
      <c r="G12" s="31" t="s">
        <v>99</v>
      </c>
    </row>
    <row r="13" spans="1:7" ht="18">
      <c r="A13" s="31" t="s">
        <v>100</v>
      </c>
      <c r="B13" s="32">
        <v>2479</v>
      </c>
      <c r="C13" s="32">
        <v>1526</v>
      </c>
      <c r="D13" s="32">
        <v>2036</v>
      </c>
      <c r="E13" s="32">
        <v>2923</v>
      </c>
      <c r="F13" s="33">
        <v>8964</v>
      </c>
      <c r="G13" s="31" t="s">
        <v>101</v>
      </c>
    </row>
    <row r="14" spans="1:7" ht="18">
      <c r="A14" s="31" t="s">
        <v>102</v>
      </c>
      <c r="B14" s="32">
        <v>379</v>
      </c>
      <c r="C14" s="32">
        <v>37</v>
      </c>
      <c r="D14" s="32">
        <v>22</v>
      </c>
      <c r="E14" s="32">
        <v>103</v>
      </c>
      <c r="F14" s="33">
        <v>541</v>
      </c>
      <c r="G14" s="31" t="s">
        <v>103</v>
      </c>
    </row>
    <row r="15" spans="1:7" ht="18">
      <c r="A15" s="31" t="s">
        <v>104</v>
      </c>
      <c r="B15" s="32">
        <v>313</v>
      </c>
      <c r="C15" s="32">
        <v>752</v>
      </c>
      <c r="D15" s="32">
        <v>334</v>
      </c>
      <c r="E15" s="32">
        <v>2936</v>
      </c>
      <c r="F15" s="33">
        <v>4335</v>
      </c>
      <c r="G15" s="31" t="s">
        <v>105</v>
      </c>
    </row>
    <row r="16" spans="1:7" ht="18">
      <c r="A16" s="31" t="s">
        <v>106</v>
      </c>
      <c r="B16" s="32">
        <v>1312</v>
      </c>
      <c r="C16" s="32">
        <v>554</v>
      </c>
      <c r="D16" s="32">
        <v>782</v>
      </c>
      <c r="E16" s="32">
        <v>2711</v>
      </c>
      <c r="F16" s="33">
        <v>5359</v>
      </c>
      <c r="G16" s="31" t="s">
        <v>107</v>
      </c>
    </row>
    <row r="17" spans="1:7" ht="18">
      <c r="A17" s="31" t="s">
        <v>108</v>
      </c>
      <c r="B17" s="32">
        <v>285</v>
      </c>
      <c r="C17" s="32">
        <v>272</v>
      </c>
      <c r="D17" s="32">
        <v>534</v>
      </c>
      <c r="E17" s="32">
        <v>942</v>
      </c>
      <c r="F17" s="33">
        <v>2033</v>
      </c>
      <c r="G17" s="31" t="s">
        <v>109</v>
      </c>
    </row>
    <row r="18" spans="1:7" ht="18">
      <c r="A18" s="31" t="s">
        <v>110</v>
      </c>
      <c r="B18" s="32">
        <v>1417</v>
      </c>
      <c r="C18" s="32">
        <v>1445</v>
      </c>
      <c r="D18" s="32">
        <v>1366</v>
      </c>
      <c r="E18" s="32">
        <v>1458</v>
      </c>
      <c r="F18" s="33">
        <v>5686</v>
      </c>
      <c r="G18" s="31" t="s">
        <v>111</v>
      </c>
    </row>
    <row r="19" spans="1:7" ht="18">
      <c r="A19" s="31" t="s">
        <v>94</v>
      </c>
      <c r="B19" s="32">
        <v>46</v>
      </c>
      <c r="C19" s="32">
        <v>44</v>
      </c>
      <c r="D19" s="32">
        <v>99</v>
      </c>
      <c r="E19" s="32">
        <v>10</v>
      </c>
      <c r="F19" s="33">
        <v>199</v>
      </c>
      <c r="G19" s="31" t="s">
        <v>95</v>
      </c>
    </row>
    <row r="20" spans="1:7" ht="18">
      <c r="A20" s="31" t="s">
        <v>112</v>
      </c>
      <c r="B20" s="32">
        <v>1177</v>
      </c>
      <c r="C20" s="32">
        <v>494</v>
      </c>
      <c r="D20" s="32">
        <v>1118</v>
      </c>
      <c r="E20" s="32">
        <v>1250</v>
      </c>
      <c r="F20" s="33">
        <v>4039</v>
      </c>
      <c r="G20" s="31" t="s">
        <v>113</v>
      </c>
    </row>
    <row r="21" spans="1:7" ht="18">
      <c r="A21" s="31" t="s">
        <v>114</v>
      </c>
      <c r="B21" s="32">
        <v>170</v>
      </c>
      <c r="C21" s="32">
        <v>242</v>
      </c>
      <c r="D21" s="32">
        <v>333</v>
      </c>
      <c r="E21" s="32">
        <v>430</v>
      </c>
      <c r="F21" s="33">
        <v>1175</v>
      </c>
      <c r="G21" s="31" t="s">
        <v>115</v>
      </c>
    </row>
    <row r="22" spans="1:7" ht="18">
      <c r="A22" s="31" t="s">
        <v>116</v>
      </c>
      <c r="B22" s="32">
        <v>42</v>
      </c>
      <c r="C22" s="32">
        <v>21</v>
      </c>
      <c r="D22" s="32">
        <v>61</v>
      </c>
      <c r="E22" s="32">
        <v>55</v>
      </c>
      <c r="F22" s="33">
        <v>179</v>
      </c>
      <c r="G22" s="31" t="s">
        <v>117</v>
      </c>
    </row>
    <row r="23" spans="1:7" ht="18">
      <c r="A23" s="31" t="s">
        <v>118</v>
      </c>
      <c r="B23" s="32">
        <v>86</v>
      </c>
      <c r="C23" s="32">
        <v>29</v>
      </c>
      <c r="D23" s="32">
        <v>244</v>
      </c>
      <c r="E23" s="32">
        <v>405</v>
      </c>
      <c r="F23" s="33">
        <v>764</v>
      </c>
      <c r="G23" s="31" t="s">
        <v>119</v>
      </c>
    </row>
    <row r="24" spans="1:7" ht="18">
      <c r="A24" s="31" t="s">
        <v>120</v>
      </c>
      <c r="B24" s="32">
        <v>1877</v>
      </c>
      <c r="C24" s="32">
        <v>354</v>
      </c>
      <c r="D24" s="32">
        <v>1734</v>
      </c>
      <c r="E24" s="32">
        <v>1013</v>
      </c>
      <c r="F24" s="33">
        <v>4978</v>
      </c>
      <c r="G24" s="31" t="s">
        <v>121</v>
      </c>
    </row>
    <row r="25" spans="1:7" ht="18">
      <c r="A25" s="31" t="s">
        <v>122</v>
      </c>
      <c r="B25" s="32">
        <v>318</v>
      </c>
      <c r="C25" s="32">
        <v>620</v>
      </c>
      <c r="D25" s="32">
        <v>3091</v>
      </c>
      <c r="E25" s="32">
        <v>1216</v>
      </c>
      <c r="F25" s="33">
        <v>5245</v>
      </c>
      <c r="G25" s="31" t="s">
        <v>123</v>
      </c>
    </row>
    <row r="26" spans="1:7" ht="18">
      <c r="A26" s="31" t="s">
        <v>124</v>
      </c>
      <c r="B26" s="32">
        <v>117</v>
      </c>
      <c r="C26" s="32">
        <v>74</v>
      </c>
      <c r="D26" s="32">
        <v>57</v>
      </c>
      <c r="E26" s="32">
        <v>676</v>
      </c>
      <c r="F26" s="33">
        <v>924</v>
      </c>
      <c r="G26" s="31" t="s">
        <v>125</v>
      </c>
    </row>
    <row r="27" spans="1:7" ht="18">
      <c r="A27" s="31" t="s">
        <v>126</v>
      </c>
      <c r="B27" s="32">
        <v>0</v>
      </c>
      <c r="C27" s="32">
        <v>5</v>
      </c>
      <c r="D27" s="32">
        <v>12</v>
      </c>
      <c r="E27" s="32">
        <v>90</v>
      </c>
      <c r="F27" s="33">
        <v>107</v>
      </c>
      <c r="G27" s="31" t="s">
        <v>127</v>
      </c>
    </row>
    <row r="28" spans="1:7" ht="18">
      <c r="A28" s="31" t="s">
        <v>128</v>
      </c>
      <c r="B28" s="32">
        <v>0</v>
      </c>
      <c r="C28" s="32">
        <v>0</v>
      </c>
      <c r="D28" s="32">
        <v>0</v>
      </c>
      <c r="E28" s="32">
        <v>0</v>
      </c>
      <c r="F28" s="33">
        <v>0</v>
      </c>
      <c r="G28" s="31" t="s">
        <v>129</v>
      </c>
    </row>
    <row r="29" spans="1:7" ht="18">
      <c r="A29" s="31" t="s">
        <v>130</v>
      </c>
      <c r="B29" s="32">
        <v>648</v>
      </c>
      <c r="C29" s="32">
        <v>758</v>
      </c>
      <c r="D29" s="32">
        <v>878</v>
      </c>
      <c r="E29" s="32">
        <v>5</v>
      </c>
      <c r="F29" s="33">
        <v>2289</v>
      </c>
      <c r="G29" s="31" t="s">
        <v>131</v>
      </c>
    </row>
    <row r="30" spans="1:7" ht="18">
      <c r="A30" s="31" t="s">
        <v>132</v>
      </c>
      <c r="B30" s="32">
        <v>61</v>
      </c>
      <c r="C30" s="32">
        <v>42</v>
      </c>
      <c r="D30" s="32">
        <v>142</v>
      </c>
      <c r="E30" s="32">
        <v>323</v>
      </c>
      <c r="F30" s="33">
        <v>568</v>
      </c>
      <c r="G30" s="31" t="s">
        <v>133</v>
      </c>
    </row>
    <row r="31" spans="1:7" ht="18">
      <c r="A31" s="31" t="s">
        <v>134</v>
      </c>
      <c r="B31" s="32">
        <v>222</v>
      </c>
      <c r="C31" s="32">
        <v>88</v>
      </c>
      <c r="D31" s="32">
        <v>1171</v>
      </c>
      <c r="E31" s="32">
        <v>447</v>
      </c>
      <c r="F31" s="33">
        <v>1928</v>
      </c>
      <c r="G31" s="31" t="s">
        <v>135</v>
      </c>
    </row>
    <row r="32" spans="1:7" ht="18">
      <c r="A32" s="31" t="s">
        <v>136</v>
      </c>
      <c r="B32" s="32">
        <v>6</v>
      </c>
      <c r="C32" s="32">
        <v>0</v>
      </c>
      <c r="D32" s="32">
        <v>6</v>
      </c>
      <c r="E32" s="32">
        <v>593</v>
      </c>
      <c r="F32" s="33">
        <v>605</v>
      </c>
      <c r="G32" s="31" t="s">
        <v>137</v>
      </c>
    </row>
    <row r="33" spans="1:7" ht="18">
      <c r="A33" s="47" t="s">
        <v>138</v>
      </c>
      <c r="B33" s="48">
        <v>14</v>
      </c>
      <c r="C33" s="48">
        <v>77</v>
      </c>
      <c r="D33" s="48">
        <v>221</v>
      </c>
      <c r="E33" s="48">
        <v>10</v>
      </c>
      <c r="F33" s="49">
        <v>322</v>
      </c>
      <c r="G33" s="47" t="s">
        <v>139</v>
      </c>
    </row>
    <row r="34" spans="1:7">
      <c r="A34" s="3" t="s">
        <v>140</v>
      </c>
    </row>
  </sheetData>
  <mergeCells count="2">
    <mergeCell ref="A4:A5"/>
    <mergeCell ref="G4:G5"/>
  </mergeCells>
  <hyperlinks>
    <hyperlink ref="A1" location="'فهرس - Index'!A1" tooltip="#'فهرس - Index'!A1 - Click once to follow. Click and hold to select this cell." display="عودة للفهرس-return to Index" xr:uid="{6CA2934E-0204-4539-A9AE-6B3AD6D8D16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rightToLeft="1" workbookViewId="0">
      <selection activeCell="D17" sqref="D17"/>
    </sheetView>
  </sheetViews>
  <sheetFormatPr defaultColWidth="8.85546875" defaultRowHeight="16.5"/>
  <cols>
    <col min="1" max="1" width="17.7109375" style="3" customWidth="1"/>
    <col min="2" max="4" width="31.28515625" style="3" customWidth="1"/>
    <col min="5" max="5" width="24.140625" style="3" customWidth="1"/>
    <col min="6" max="6" width="31.28515625" style="3" customWidth="1"/>
    <col min="7" max="7" width="8.85546875" style="3" customWidth="1"/>
    <col min="8" max="16384" width="8.85546875" style="3"/>
  </cols>
  <sheetData>
    <row r="1" spans="1:6">
      <c r="A1" s="163" t="s">
        <v>23</v>
      </c>
    </row>
    <row r="2" spans="1:6" ht="18">
      <c r="A2" s="2" t="s">
        <v>491</v>
      </c>
      <c r="B2" s="2"/>
      <c r="C2" s="2"/>
      <c r="D2" s="2"/>
      <c r="E2" s="2"/>
      <c r="F2" s="2" t="s">
        <v>492</v>
      </c>
    </row>
    <row r="3" spans="1:6" ht="18">
      <c r="A3" s="2" t="s">
        <v>184</v>
      </c>
      <c r="B3" s="2"/>
      <c r="C3" s="2"/>
      <c r="D3" s="2"/>
      <c r="E3" s="2"/>
      <c r="F3" s="2" t="s">
        <v>185</v>
      </c>
    </row>
    <row r="4" spans="1:6" ht="31.15" customHeight="1">
      <c r="A4" s="368" t="s">
        <v>54</v>
      </c>
      <c r="B4" s="24" t="s">
        <v>186</v>
      </c>
      <c r="C4" s="24" t="s">
        <v>187</v>
      </c>
      <c r="D4" s="24" t="s">
        <v>188</v>
      </c>
      <c r="E4" s="24" t="s">
        <v>189</v>
      </c>
      <c r="F4" s="24" t="s">
        <v>67</v>
      </c>
    </row>
    <row r="5" spans="1:6" ht="31.15" customHeight="1">
      <c r="A5" s="347"/>
      <c r="B5" s="25" t="s">
        <v>190</v>
      </c>
      <c r="C5" s="25" t="s">
        <v>191</v>
      </c>
      <c r="D5" s="25" t="s">
        <v>192</v>
      </c>
      <c r="E5" s="25" t="s">
        <v>193</v>
      </c>
      <c r="F5" s="25" t="s">
        <v>80</v>
      </c>
    </row>
    <row r="6" spans="1:6" ht="18">
      <c r="A6" s="29">
        <v>2024</v>
      </c>
      <c r="B6" s="29">
        <v>4226</v>
      </c>
      <c r="C6" s="29">
        <v>16820</v>
      </c>
      <c r="D6" s="29">
        <v>131</v>
      </c>
      <c r="E6" s="29">
        <v>55185</v>
      </c>
      <c r="F6" s="30">
        <v>76362</v>
      </c>
    </row>
    <row r="7" spans="1:6" ht="18">
      <c r="A7" s="32">
        <v>2023</v>
      </c>
      <c r="B7" s="32">
        <v>18767</v>
      </c>
      <c r="C7" s="32">
        <v>151</v>
      </c>
      <c r="D7" s="32">
        <v>23907</v>
      </c>
      <c r="E7" s="32">
        <v>28191</v>
      </c>
      <c r="F7" s="33">
        <v>71016</v>
      </c>
    </row>
    <row r="8" spans="1:6" ht="18">
      <c r="A8" s="32">
        <v>2022</v>
      </c>
      <c r="B8" s="32">
        <v>16647</v>
      </c>
      <c r="C8" s="32">
        <v>83</v>
      </c>
      <c r="D8" s="32">
        <v>14269</v>
      </c>
      <c r="E8" s="32">
        <v>24992</v>
      </c>
      <c r="F8" s="33">
        <v>55991</v>
      </c>
    </row>
    <row r="9" spans="1:6" ht="18">
      <c r="A9" s="32">
        <v>2021</v>
      </c>
      <c r="B9" s="32">
        <v>16238</v>
      </c>
      <c r="C9" s="32">
        <v>162</v>
      </c>
      <c r="D9" s="32">
        <v>12904</v>
      </c>
      <c r="E9" s="32">
        <v>22207</v>
      </c>
      <c r="F9" s="33">
        <v>51511</v>
      </c>
    </row>
    <row r="10" spans="1:6" ht="18">
      <c r="A10" s="48">
        <v>2020</v>
      </c>
      <c r="B10" s="48">
        <v>15306</v>
      </c>
      <c r="C10" s="48">
        <v>111</v>
      </c>
      <c r="D10" s="48">
        <v>16175</v>
      </c>
      <c r="E10" s="48">
        <v>25197</v>
      </c>
      <c r="F10" s="49">
        <v>56789</v>
      </c>
    </row>
  </sheetData>
  <mergeCells count="1">
    <mergeCell ref="A4:A5"/>
  </mergeCells>
  <hyperlinks>
    <hyperlink ref="A1" location="'فهرس - Index'!A1" tooltip="#'فهرس - Index'!A1 - Click once to follow. Click and hold to select this cell." display="عودة للفهرس-return to Index" xr:uid="{F2B991A0-9AFE-43C9-9A10-E3DE2E10C82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4"/>
  <sheetViews>
    <sheetView rightToLeft="1" workbookViewId="0">
      <selection activeCell="K10" sqref="K10"/>
    </sheetView>
  </sheetViews>
  <sheetFormatPr defaultColWidth="8.85546875" defaultRowHeight="16.5"/>
  <cols>
    <col min="1" max="1" width="19.42578125" style="3" customWidth="1"/>
    <col min="2" max="6" width="25" style="3" customWidth="1"/>
    <col min="7" max="7" width="19.42578125" style="3" customWidth="1"/>
    <col min="8" max="8" width="8.85546875" style="3" customWidth="1"/>
    <col min="9" max="16384" width="8.85546875" style="3"/>
  </cols>
  <sheetData>
    <row r="1" spans="1:7">
      <c r="A1" s="163" t="s">
        <v>23</v>
      </c>
    </row>
    <row r="2" spans="1:7" ht="18">
      <c r="A2" s="2" t="s">
        <v>453</v>
      </c>
      <c r="B2" s="2"/>
      <c r="C2" s="2"/>
      <c r="D2" s="2"/>
      <c r="E2" s="2"/>
      <c r="F2" s="2"/>
      <c r="G2" s="2" t="s">
        <v>481</v>
      </c>
    </row>
    <row r="3" spans="1:7" ht="18">
      <c r="A3" s="2" t="s">
        <v>194</v>
      </c>
      <c r="B3" s="2"/>
      <c r="C3" s="2"/>
      <c r="D3" s="2"/>
      <c r="E3" s="2"/>
      <c r="F3" s="2"/>
      <c r="G3" s="2" t="s">
        <v>195</v>
      </c>
    </row>
    <row r="4" spans="1:7" ht="31.15" customHeight="1">
      <c r="A4" s="368" t="s">
        <v>83</v>
      </c>
      <c r="B4" s="43" t="s">
        <v>188</v>
      </c>
      <c r="C4" s="24" t="s">
        <v>186</v>
      </c>
      <c r="D4" s="24" t="s">
        <v>187</v>
      </c>
      <c r="E4" s="24" t="s">
        <v>189</v>
      </c>
      <c r="F4" s="24" t="s">
        <v>85</v>
      </c>
      <c r="G4" s="369" t="s">
        <v>84</v>
      </c>
    </row>
    <row r="5" spans="1:7" ht="31.15" customHeight="1">
      <c r="A5" s="347"/>
      <c r="B5" s="44" t="s">
        <v>192</v>
      </c>
      <c r="C5" s="25" t="s">
        <v>190</v>
      </c>
      <c r="D5" s="25" t="s">
        <v>191</v>
      </c>
      <c r="E5" s="25" t="s">
        <v>193</v>
      </c>
      <c r="F5" s="25" t="s">
        <v>80</v>
      </c>
      <c r="G5" s="364"/>
    </row>
    <row r="6" spans="1:7" ht="18">
      <c r="A6" s="59" t="s">
        <v>85</v>
      </c>
      <c r="B6" s="60">
        <v>4226</v>
      </c>
      <c r="C6" s="60">
        <v>16820</v>
      </c>
      <c r="D6" s="60">
        <v>131</v>
      </c>
      <c r="E6" s="60">
        <v>55185</v>
      </c>
      <c r="F6" s="60">
        <v>76362</v>
      </c>
      <c r="G6" s="59" t="s">
        <v>80</v>
      </c>
    </row>
    <row r="7" spans="1:7" ht="18">
      <c r="A7" s="31" t="s">
        <v>86</v>
      </c>
      <c r="B7" s="32">
        <v>29</v>
      </c>
      <c r="C7" s="32">
        <v>111</v>
      </c>
      <c r="D7" s="32">
        <v>0</v>
      </c>
      <c r="E7" s="32">
        <v>794</v>
      </c>
      <c r="F7" s="33">
        <v>934</v>
      </c>
      <c r="G7" s="31" t="s">
        <v>87</v>
      </c>
    </row>
    <row r="8" spans="1:7" ht="18">
      <c r="A8" s="31" t="s">
        <v>88</v>
      </c>
      <c r="B8" s="32">
        <v>14</v>
      </c>
      <c r="C8" s="32">
        <v>1569</v>
      </c>
      <c r="D8" s="32">
        <v>4</v>
      </c>
      <c r="E8" s="32">
        <v>1393</v>
      </c>
      <c r="F8" s="33">
        <v>2980</v>
      </c>
      <c r="G8" s="31" t="s">
        <v>89</v>
      </c>
    </row>
    <row r="9" spans="1:7" ht="18">
      <c r="A9" s="31" t="s">
        <v>90</v>
      </c>
      <c r="B9" s="32">
        <v>0</v>
      </c>
      <c r="C9" s="32">
        <v>0</v>
      </c>
      <c r="D9" s="32">
        <v>0</v>
      </c>
      <c r="E9" s="32">
        <v>0</v>
      </c>
      <c r="F9" s="33">
        <v>0</v>
      </c>
      <c r="G9" s="31" t="s">
        <v>91</v>
      </c>
    </row>
    <row r="10" spans="1:7" ht="18">
      <c r="A10" s="31" t="s">
        <v>92</v>
      </c>
      <c r="B10" s="32">
        <v>13</v>
      </c>
      <c r="C10" s="32">
        <v>7</v>
      </c>
      <c r="D10" s="32">
        <v>0</v>
      </c>
      <c r="E10" s="32">
        <v>19</v>
      </c>
      <c r="F10" s="33">
        <v>39</v>
      </c>
      <c r="G10" s="31" t="s">
        <v>93</v>
      </c>
    </row>
    <row r="11" spans="1:7" ht="18">
      <c r="A11" s="31" t="s">
        <v>94</v>
      </c>
      <c r="B11" s="32">
        <v>32</v>
      </c>
      <c r="C11" s="32">
        <v>89</v>
      </c>
      <c r="D11" s="32">
        <v>0</v>
      </c>
      <c r="E11" s="32">
        <v>78</v>
      </c>
      <c r="F11" s="33">
        <v>199</v>
      </c>
      <c r="G11" s="31" t="s">
        <v>95</v>
      </c>
    </row>
    <row r="12" spans="1:7" ht="18">
      <c r="A12" s="31" t="s">
        <v>96</v>
      </c>
      <c r="B12" s="32">
        <v>283</v>
      </c>
      <c r="C12" s="32">
        <v>580</v>
      </c>
      <c r="D12" s="32">
        <v>2</v>
      </c>
      <c r="E12" s="32">
        <v>5741</v>
      </c>
      <c r="F12" s="33">
        <v>6606</v>
      </c>
      <c r="G12" s="31" t="s">
        <v>97</v>
      </c>
    </row>
    <row r="13" spans="1:7" ht="18">
      <c r="A13" s="31" t="s">
        <v>98</v>
      </c>
      <c r="B13" s="32">
        <v>896</v>
      </c>
      <c r="C13" s="32">
        <v>4679</v>
      </c>
      <c r="D13" s="32">
        <v>5</v>
      </c>
      <c r="E13" s="32">
        <v>9983</v>
      </c>
      <c r="F13" s="33">
        <v>15563</v>
      </c>
      <c r="G13" s="31" t="s">
        <v>99</v>
      </c>
    </row>
    <row r="14" spans="1:7" ht="18">
      <c r="A14" s="31" t="s">
        <v>100</v>
      </c>
      <c r="B14" s="32">
        <v>880</v>
      </c>
      <c r="C14" s="32">
        <v>951</v>
      </c>
      <c r="D14" s="32">
        <v>12</v>
      </c>
      <c r="E14" s="32">
        <v>7121</v>
      </c>
      <c r="F14" s="33">
        <v>8964</v>
      </c>
      <c r="G14" s="31" t="s">
        <v>101</v>
      </c>
    </row>
    <row r="15" spans="1:7" ht="18">
      <c r="A15" s="31" t="s">
        <v>102</v>
      </c>
      <c r="B15" s="32">
        <v>17</v>
      </c>
      <c r="C15" s="32">
        <v>6</v>
      </c>
      <c r="D15" s="32">
        <v>0</v>
      </c>
      <c r="E15" s="32">
        <v>518</v>
      </c>
      <c r="F15" s="33">
        <v>541</v>
      </c>
      <c r="G15" s="31" t="s">
        <v>103</v>
      </c>
    </row>
    <row r="16" spans="1:7" ht="18">
      <c r="A16" s="31" t="s">
        <v>104</v>
      </c>
      <c r="B16" s="32">
        <v>295</v>
      </c>
      <c r="C16" s="32">
        <v>682</v>
      </c>
      <c r="D16" s="32">
        <v>4</v>
      </c>
      <c r="E16" s="32">
        <v>3354</v>
      </c>
      <c r="F16" s="33">
        <v>4335</v>
      </c>
      <c r="G16" s="31" t="s">
        <v>105</v>
      </c>
    </row>
    <row r="17" spans="1:7" ht="18">
      <c r="A17" s="31" t="s">
        <v>106</v>
      </c>
      <c r="B17" s="32">
        <v>247</v>
      </c>
      <c r="C17" s="32">
        <v>991</v>
      </c>
      <c r="D17" s="32">
        <v>3</v>
      </c>
      <c r="E17" s="32">
        <v>4118</v>
      </c>
      <c r="F17" s="33">
        <v>5359</v>
      </c>
      <c r="G17" s="31" t="s">
        <v>107</v>
      </c>
    </row>
    <row r="18" spans="1:7" ht="18">
      <c r="A18" s="31" t="s">
        <v>108</v>
      </c>
      <c r="B18" s="32">
        <v>25</v>
      </c>
      <c r="C18" s="32">
        <v>597</v>
      </c>
      <c r="D18" s="32">
        <v>16</v>
      </c>
      <c r="E18" s="32">
        <v>1395</v>
      </c>
      <c r="F18" s="33">
        <v>2033</v>
      </c>
      <c r="G18" s="31" t="s">
        <v>109</v>
      </c>
    </row>
    <row r="19" spans="1:7" ht="18">
      <c r="A19" s="31" t="s">
        <v>110</v>
      </c>
      <c r="B19" s="32">
        <v>145</v>
      </c>
      <c r="C19" s="32">
        <v>902</v>
      </c>
      <c r="D19" s="32">
        <v>9</v>
      </c>
      <c r="E19" s="32">
        <v>4630</v>
      </c>
      <c r="F19" s="33">
        <v>5686</v>
      </c>
      <c r="G19" s="31" t="s">
        <v>111</v>
      </c>
    </row>
    <row r="20" spans="1:7" ht="18">
      <c r="A20" s="31" t="s">
        <v>112</v>
      </c>
      <c r="B20" s="32">
        <v>197</v>
      </c>
      <c r="C20" s="32">
        <v>1295</v>
      </c>
      <c r="D20" s="32">
        <v>17</v>
      </c>
      <c r="E20" s="32">
        <v>2530</v>
      </c>
      <c r="F20" s="33">
        <v>4039</v>
      </c>
      <c r="G20" s="31" t="s">
        <v>113</v>
      </c>
    </row>
    <row r="21" spans="1:7" ht="18">
      <c r="A21" s="31" t="s">
        <v>114</v>
      </c>
      <c r="B21" s="32">
        <v>202</v>
      </c>
      <c r="C21" s="32">
        <v>181</v>
      </c>
      <c r="D21" s="32">
        <v>5</v>
      </c>
      <c r="E21" s="32">
        <v>787</v>
      </c>
      <c r="F21" s="33">
        <v>1175</v>
      </c>
      <c r="G21" s="31" t="s">
        <v>115</v>
      </c>
    </row>
    <row r="22" spans="1:7" ht="18">
      <c r="A22" s="31" t="s">
        <v>116</v>
      </c>
      <c r="B22" s="32">
        <v>1</v>
      </c>
      <c r="C22" s="32">
        <v>2</v>
      </c>
      <c r="D22" s="32">
        <v>0</v>
      </c>
      <c r="E22" s="32">
        <v>176</v>
      </c>
      <c r="F22" s="33">
        <v>179</v>
      </c>
      <c r="G22" s="31" t="s">
        <v>117</v>
      </c>
    </row>
    <row r="23" spans="1:7" ht="18">
      <c r="A23" s="31" t="s">
        <v>118</v>
      </c>
      <c r="B23" s="32">
        <v>129</v>
      </c>
      <c r="C23" s="32">
        <v>143</v>
      </c>
      <c r="D23" s="32">
        <v>1</v>
      </c>
      <c r="E23" s="32">
        <v>491</v>
      </c>
      <c r="F23" s="33">
        <v>764</v>
      </c>
      <c r="G23" s="31" t="s">
        <v>119</v>
      </c>
    </row>
    <row r="24" spans="1:7" ht="18">
      <c r="A24" s="31" t="s">
        <v>120</v>
      </c>
      <c r="B24" s="32">
        <v>44</v>
      </c>
      <c r="C24" s="32">
        <v>946</v>
      </c>
      <c r="D24" s="32">
        <v>16</v>
      </c>
      <c r="E24" s="32">
        <v>3972</v>
      </c>
      <c r="F24" s="33">
        <v>4978</v>
      </c>
      <c r="G24" s="31" t="s">
        <v>121</v>
      </c>
    </row>
    <row r="25" spans="1:7" ht="18">
      <c r="A25" s="31" t="s">
        <v>122</v>
      </c>
      <c r="B25" s="32">
        <v>114</v>
      </c>
      <c r="C25" s="32">
        <v>388</v>
      </c>
      <c r="D25" s="32">
        <v>30</v>
      </c>
      <c r="E25" s="32">
        <v>4713</v>
      </c>
      <c r="F25" s="33">
        <v>5245</v>
      </c>
      <c r="G25" s="31" t="s">
        <v>123</v>
      </c>
    </row>
    <row r="26" spans="1:7" ht="18">
      <c r="A26" s="31" t="s">
        <v>124</v>
      </c>
      <c r="B26" s="32">
        <v>49</v>
      </c>
      <c r="C26" s="32">
        <v>30</v>
      </c>
      <c r="D26" s="32">
        <v>7</v>
      </c>
      <c r="E26" s="32">
        <v>838</v>
      </c>
      <c r="F26" s="33">
        <v>924</v>
      </c>
      <c r="G26" s="31" t="s">
        <v>125</v>
      </c>
    </row>
    <row r="27" spans="1:7" ht="18">
      <c r="A27" s="31" t="s">
        <v>126</v>
      </c>
      <c r="B27" s="32">
        <v>0</v>
      </c>
      <c r="C27" s="32">
        <v>7</v>
      </c>
      <c r="D27" s="32">
        <v>0</v>
      </c>
      <c r="E27" s="32">
        <v>100</v>
      </c>
      <c r="F27" s="33">
        <v>107</v>
      </c>
      <c r="G27" s="31" t="s">
        <v>127</v>
      </c>
    </row>
    <row r="28" spans="1:7" ht="18">
      <c r="A28" s="31" t="s">
        <v>128</v>
      </c>
      <c r="B28" s="32">
        <v>0</v>
      </c>
      <c r="C28" s="32">
        <v>0</v>
      </c>
      <c r="D28" s="32">
        <v>0</v>
      </c>
      <c r="E28" s="32">
        <v>0</v>
      </c>
      <c r="F28" s="33">
        <v>0</v>
      </c>
      <c r="G28" s="31" t="s">
        <v>129</v>
      </c>
    </row>
    <row r="29" spans="1:7" ht="18">
      <c r="A29" s="31" t="s">
        <v>134</v>
      </c>
      <c r="B29" s="32">
        <v>7</v>
      </c>
      <c r="C29" s="32">
        <v>1229</v>
      </c>
      <c r="D29" s="32">
        <v>0</v>
      </c>
      <c r="E29" s="32">
        <v>692</v>
      </c>
      <c r="F29" s="33">
        <v>1928</v>
      </c>
      <c r="G29" s="31" t="s">
        <v>135</v>
      </c>
    </row>
    <row r="30" spans="1:7" ht="18">
      <c r="A30" s="31" t="s">
        <v>132</v>
      </c>
      <c r="B30" s="32">
        <v>29</v>
      </c>
      <c r="C30" s="32">
        <v>229</v>
      </c>
      <c r="D30" s="32">
        <v>0</v>
      </c>
      <c r="E30" s="32">
        <v>310</v>
      </c>
      <c r="F30" s="33">
        <v>568</v>
      </c>
      <c r="G30" s="31" t="s">
        <v>133</v>
      </c>
    </row>
    <row r="31" spans="1:7" ht="18">
      <c r="A31" s="31" t="s">
        <v>130</v>
      </c>
      <c r="B31" s="32">
        <v>567</v>
      </c>
      <c r="C31" s="32">
        <v>945</v>
      </c>
      <c r="D31" s="32">
        <v>0</v>
      </c>
      <c r="E31" s="32">
        <v>777</v>
      </c>
      <c r="F31" s="33">
        <v>2289</v>
      </c>
      <c r="G31" s="31" t="s">
        <v>131</v>
      </c>
    </row>
    <row r="32" spans="1:7" ht="18">
      <c r="A32" s="31" t="s">
        <v>136</v>
      </c>
      <c r="B32" s="32">
        <v>2</v>
      </c>
      <c r="C32" s="32">
        <v>9</v>
      </c>
      <c r="D32" s="32">
        <v>0</v>
      </c>
      <c r="E32" s="32">
        <v>594</v>
      </c>
      <c r="F32" s="33">
        <v>605</v>
      </c>
      <c r="G32" s="31" t="s">
        <v>137</v>
      </c>
    </row>
    <row r="33" spans="1:7" ht="18">
      <c r="A33" s="47" t="s">
        <v>138</v>
      </c>
      <c r="B33" s="52">
        <v>9</v>
      </c>
      <c r="C33" s="52">
        <v>252</v>
      </c>
      <c r="D33" s="52">
        <v>0</v>
      </c>
      <c r="E33" s="52">
        <v>61</v>
      </c>
      <c r="F33" s="61">
        <v>322</v>
      </c>
      <c r="G33" s="47" t="s">
        <v>139</v>
      </c>
    </row>
    <row r="34" spans="1:7">
      <c r="A34" s="3" t="s">
        <v>140</v>
      </c>
    </row>
  </sheetData>
  <mergeCells count="2">
    <mergeCell ref="A4:A5"/>
    <mergeCell ref="G4:G5"/>
  </mergeCells>
  <hyperlinks>
    <hyperlink ref="A1" location="'فهرس - Index'!A1" tooltip="#'فهرس - Index'!A1 - Click once to follow. Click and hold to select this cell." display="عودة للفهرس-return to Index" xr:uid="{12BCD30B-8C50-4444-99F4-72F9D7BE0F6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"/>
  <sheetViews>
    <sheetView rightToLeft="1" workbookViewId="0">
      <selection activeCell="K15" sqref="K15"/>
    </sheetView>
  </sheetViews>
  <sheetFormatPr defaultColWidth="8.85546875" defaultRowHeight="16.5"/>
  <cols>
    <col min="1" max="14" width="11.7109375" style="3" customWidth="1"/>
    <col min="15" max="15" width="8.85546875" style="3" customWidth="1"/>
    <col min="16" max="16384" width="8.85546875" style="3"/>
  </cols>
  <sheetData>
    <row r="1" spans="1:14">
      <c r="A1" s="163" t="s">
        <v>23</v>
      </c>
    </row>
    <row r="2" spans="1:14" ht="18">
      <c r="A2" s="2" t="s">
        <v>437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507</v>
      </c>
    </row>
    <row r="3" spans="1:14" ht="18">
      <c r="A3" s="4" t="s">
        <v>196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197</v>
      </c>
    </row>
    <row r="4" spans="1:14" ht="18">
      <c r="A4" s="368" t="s">
        <v>83</v>
      </c>
      <c r="B4" s="24" t="s">
        <v>55</v>
      </c>
      <c r="C4" s="24" t="s">
        <v>56</v>
      </c>
      <c r="D4" s="24" t="s">
        <v>57</v>
      </c>
      <c r="E4" s="24" t="s">
        <v>58</v>
      </c>
      <c r="F4" s="24" t="s">
        <v>59</v>
      </c>
      <c r="G4" s="24" t="s">
        <v>60</v>
      </c>
      <c r="H4" s="24" t="s">
        <v>61</v>
      </c>
      <c r="I4" s="24" t="s">
        <v>62</v>
      </c>
      <c r="J4" s="24" t="s">
        <v>63</v>
      </c>
      <c r="K4" s="24" t="s">
        <v>64</v>
      </c>
      <c r="L4" s="24" t="s">
        <v>65</v>
      </c>
      <c r="M4" s="24" t="s">
        <v>66</v>
      </c>
      <c r="N4" s="369" t="s">
        <v>67</v>
      </c>
    </row>
    <row r="5" spans="1:14" ht="18">
      <c r="A5" s="347"/>
      <c r="B5" s="25" t="s">
        <v>68</v>
      </c>
      <c r="C5" s="25" t="s">
        <v>69</v>
      </c>
      <c r="D5" s="25" t="s">
        <v>70</v>
      </c>
      <c r="E5" s="25" t="s">
        <v>71</v>
      </c>
      <c r="F5" s="25" t="s">
        <v>72</v>
      </c>
      <c r="G5" s="25" t="s">
        <v>73</v>
      </c>
      <c r="H5" s="25" t="s">
        <v>74</v>
      </c>
      <c r="I5" s="25" t="s">
        <v>75</v>
      </c>
      <c r="J5" s="25" t="s">
        <v>76</v>
      </c>
      <c r="K5" s="25" t="s">
        <v>77</v>
      </c>
      <c r="L5" s="25" t="s">
        <v>78</v>
      </c>
      <c r="M5" s="25" t="s">
        <v>79</v>
      </c>
      <c r="N5" s="364"/>
    </row>
    <row r="6" spans="1:14" ht="18">
      <c r="A6" s="57">
        <v>2024</v>
      </c>
      <c r="B6" s="57">
        <v>407</v>
      </c>
      <c r="C6" s="57">
        <v>394</v>
      </c>
      <c r="D6" s="57">
        <v>491</v>
      </c>
      <c r="E6" s="57">
        <v>527</v>
      </c>
      <c r="F6" s="57">
        <v>410</v>
      </c>
      <c r="G6" s="57">
        <v>471</v>
      </c>
      <c r="H6" s="57">
        <v>442</v>
      </c>
      <c r="I6" s="57">
        <v>444</v>
      </c>
      <c r="J6" s="57">
        <v>420</v>
      </c>
      <c r="K6" s="57">
        <v>439</v>
      </c>
      <c r="L6" s="57">
        <v>384</v>
      </c>
      <c r="M6" s="57">
        <v>431</v>
      </c>
      <c r="N6" s="58">
        <v>5260</v>
      </c>
    </row>
    <row r="7" spans="1:14" ht="18">
      <c r="A7" s="51">
        <v>2023</v>
      </c>
      <c r="B7" s="32">
        <v>540</v>
      </c>
      <c r="C7" s="32">
        <v>503</v>
      </c>
      <c r="D7" s="32">
        <v>465</v>
      </c>
      <c r="E7" s="32">
        <v>540</v>
      </c>
      <c r="F7" s="32">
        <v>476</v>
      </c>
      <c r="G7" s="32">
        <v>469</v>
      </c>
      <c r="H7" s="32">
        <v>519</v>
      </c>
      <c r="I7" s="32">
        <v>522</v>
      </c>
      <c r="J7" s="32">
        <v>478</v>
      </c>
      <c r="K7" s="32">
        <v>482</v>
      </c>
      <c r="L7" s="32">
        <v>436</v>
      </c>
      <c r="M7" s="32">
        <v>431</v>
      </c>
      <c r="N7" s="33">
        <v>5861</v>
      </c>
    </row>
    <row r="8" spans="1:14" ht="18">
      <c r="A8" s="51">
        <v>2022</v>
      </c>
      <c r="B8" s="32">
        <v>571</v>
      </c>
      <c r="C8" s="32">
        <v>466</v>
      </c>
      <c r="D8" s="32">
        <v>596</v>
      </c>
      <c r="E8" s="32">
        <v>721</v>
      </c>
      <c r="F8" s="32">
        <v>675</v>
      </c>
      <c r="G8" s="32">
        <v>638</v>
      </c>
      <c r="H8" s="32">
        <v>738</v>
      </c>
      <c r="I8" s="32">
        <v>763</v>
      </c>
      <c r="J8" s="32">
        <v>676</v>
      </c>
      <c r="K8" s="32">
        <v>715</v>
      </c>
      <c r="L8" s="32">
        <v>613</v>
      </c>
      <c r="M8" s="32">
        <v>590</v>
      </c>
      <c r="N8" s="33">
        <v>7762</v>
      </c>
    </row>
    <row r="9" spans="1:14" ht="18">
      <c r="A9" s="51">
        <v>2021</v>
      </c>
      <c r="B9" s="32">
        <v>468</v>
      </c>
      <c r="C9" s="32">
        <v>485</v>
      </c>
      <c r="D9" s="32">
        <v>565</v>
      </c>
      <c r="E9" s="32">
        <v>613</v>
      </c>
      <c r="F9" s="32">
        <v>680</v>
      </c>
      <c r="G9" s="32">
        <v>626</v>
      </c>
      <c r="H9" s="32">
        <v>674</v>
      </c>
      <c r="I9" s="32">
        <v>668</v>
      </c>
      <c r="J9" s="32">
        <v>652</v>
      </c>
      <c r="K9" s="32">
        <v>629</v>
      </c>
      <c r="L9" s="32">
        <v>604</v>
      </c>
      <c r="M9" s="32">
        <v>662</v>
      </c>
      <c r="N9" s="33">
        <v>7326</v>
      </c>
    </row>
    <row r="10" spans="1:14" ht="18">
      <c r="A10" s="52">
        <v>2020</v>
      </c>
      <c r="B10" s="48">
        <v>517</v>
      </c>
      <c r="C10" s="48">
        <v>536</v>
      </c>
      <c r="D10" s="48">
        <v>441</v>
      </c>
      <c r="E10" s="48">
        <v>410</v>
      </c>
      <c r="F10" s="48">
        <v>518</v>
      </c>
      <c r="G10" s="48">
        <v>497</v>
      </c>
      <c r="H10" s="48">
        <v>492</v>
      </c>
      <c r="I10" s="48">
        <v>637</v>
      </c>
      <c r="J10" s="48">
        <v>512</v>
      </c>
      <c r="K10" s="48">
        <v>516</v>
      </c>
      <c r="L10" s="48">
        <v>534</v>
      </c>
      <c r="M10" s="48">
        <v>568</v>
      </c>
      <c r="N10" s="49">
        <v>6178</v>
      </c>
    </row>
  </sheetData>
  <mergeCells count="2">
    <mergeCell ref="A4:A5"/>
    <mergeCell ref="N4:N5"/>
  </mergeCells>
  <hyperlinks>
    <hyperlink ref="A1" location="'فهرس - Index'!A1" tooltip="#'فهرس - Index'!A1 - Click once to follow. Click and hold to select this cell." display="عودة للفهرس-return to Index" xr:uid="{45DAFD46-6636-4045-8E1D-2DCC17D0ABE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3"/>
  <sheetViews>
    <sheetView rightToLeft="1" workbookViewId="0">
      <selection activeCell="E16" sqref="E16"/>
    </sheetView>
  </sheetViews>
  <sheetFormatPr defaultColWidth="8.85546875" defaultRowHeight="16.5"/>
  <cols>
    <col min="1" max="14" width="13.28515625" style="3" customWidth="1"/>
    <col min="15" max="15" width="14.42578125" style="3" customWidth="1"/>
    <col min="16" max="16" width="8.85546875" style="3" customWidth="1"/>
    <col min="17" max="16384" width="8.85546875" style="3"/>
  </cols>
  <sheetData>
    <row r="1" spans="1:15">
      <c r="A1" s="163" t="s">
        <v>23</v>
      </c>
    </row>
    <row r="2" spans="1:15" ht="18">
      <c r="A2" s="2" t="s">
        <v>454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482</v>
      </c>
    </row>
    <row r="3" spans="1:15" ht="18">
      <c r="A3" s="4" t="s">
        <v>198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199</v>
      </c>
    </row>
    <row r="4" spans="1:15" ht="18">
      <c r="A4" s="368" t="s">
        <v>83</v>
      </c>
      <c r="B4" s="24" t="s">
        <v>55</v>
      </c>
      <c r="C4" s="24" t="s">
        <v>56</v>
      </c>
      <c r="D4" s="24" t="s">
        <v>57</v>
      </c>
      <c r="E4" s="24" t="s">
        <v>58</v>
      </c>
      <c r="F4" s="24" t="s">
        <v>59</v>
      </c>
      <c r="G4" s="24" t="s">
        <v>60</v>
      </c>
      <c r="H4" s="24" t="s">
        <v>61</v>
      </c>
      <c r="I4" s="24" t="s">
        <v>62</v>
      </c>
      <c r="J4" s="24" t="s">
        <v>63</v>
      </c>
      <c r="K4" s="24" t="s">
        <v>64</v>
      </c>
      <c r="L4" s="24" t="s">
        <v>65</v>
      </c>
      <c r="M4" s="24" t="s">
        <v>66</v>
      </c>
      <c r="N4" s="369" t="s">
        <v>67</v>
      </c>
      <c r="O4" s="369" t="s">
        <v>84</v>
      </c>
    </row>
    <row r="5" spans="1:15" ht="18">
      <c r="A5" s="347"/>
      <c r="B5" s="25" t="s">
        <v>68</v>
      </c>
      <c r="C5" s="25" t="s">
        <v>69</v>
      </c>
      <c r="D5" s="25" t="s">
        <v>70</v>
      </c>
      <c r="E5" s="25" t="s">
        <v>71</v>
      </c>
      <c r="F5" s="25" t="s">
        <v>72</v>
      </c>
      <c r="G5" s="25" t="s">
        <v>73</v>
      </c>
      <c r="H5" s="25" t="s">
        <v>74</v>
      </c>
      <c r="I5" s="25" t="s">
        <v>75</v>
      </c>
      <c r="J5" s="25" t="s">
        <v>76</v>
      </c>
      <c r="K5" s="25" t="s">
        <v>77</v>
      </c>
      <c r="L5" s="25" t="s">
        <v>78</v>
      </c>
      <c r="M5" s="25" t="s">
        <v>79</v>
      </c>
      <c r="N5" s="364"/>
      <c r="O5" s="364"/>
    </row>
    <row r="6" spans="1:15" ht="18">
      <c r="A6" s="54" t="s">
        <v>85</v>
      </c>
      <c r="B6" s="55">
        <v>407</v>
      </c>
      <c r="C6" s="55">
        <v>394</v>
      </c>
      <c r="D6" s="55">
        <v>491</v>
      </c>
      <c r="E6" s="55">
        <v>527</v>
      </c>
      <c r="F6" s="55">
        <v>410</v>
      </c>
      <c r="G6" s="55">
        <v>471</v>
      </c>
      <c r="H6" s="55">
        <v>442</v>
      </c>
      <c r="I6" s="55">
        <v>444</v>
      </c>
      <c r="J6" s="55">
        <v>420</v>
      </c>
      <c r="K6" s="55">
        <v>439</v>
      </c>
      <c r="L6" s="55">
        <v>384</v>
      </c>
      <c r="M6" s="55">
        <v>431</v>
      </c>
      <c r="N6" s="55">
        <v>5260</v>
      </c>
      <c r="O6" s="56" t="s">
        <v>80</v>
      </c>
    </row>
    <row r="7" spans="1:15" ht="18">
      <c r="A7" s="28" t="s">
        <v>86</v>
      </c>
      <c r="B7" s="29">
        <v>63</v>
      </c>
      <c r="C7" s="29">
        <v>59</v>
      </c>
      <c r="D7" s="29">
        <v>73</v>
      </c>
      <c r="E7" s="29">
        <v>69</v>
      </c>
      <c r="F7" s="29">
        <v>69</v>
      </c>
      <c r="G7" s="29">
        <v>48</v>
      </c>
      <c r="H7" s="29">
        <v>63</v>
      </c>
      <c r="I7" s="29">
        <v>66</v>
      </c>
      <c r="J7" s="29">
        <v>55</v>
      </c>
      <c r="K7" s="29">
        <v>73</v>
      </c>
      <c r="L7" s="29">
        <v>68</v>
      </c>
      <c r="M7" s="29">
        <v>60</v>
      </c>
      <c r="N7" s="30">
        <v>766</v>
      </c>
      <c r="O7" s="28" t="s">
        <v>87</v>
      </c>
    </row>
    <row r="8" spans="1:15" ht="18">
      <c r="A8" s="31" t="s">
        <v>88</v>
      </c>
      <c r="B8" s="32">
        <v>18</v>
      </c>
      <c r="C8" s="32">
        <v>20</v>
      </c>
      <c r="D8" s="32">
        <v>39</v>
      </c>
      <c r="E8" s="32">
        <v>48</v>
      </c>
      <c r="F8" s="32">
        <v>26</v>
      </c>
      <c r="G8" s="32">
        <v>25</v>
      </c>
      <c r="H8" s="32">
        <v>19</v>
      </c>
      <c r="I8" s="32">
        <v>39</v>
      </c>
      <c r="J8" s="32">
        <v>41</v>
      </c>
      <c r="K8" s="32">
        <v>34</v>
      </c>
      <c r="L8" s="32">
        <v>33</v>
      </c>
      <c r="M8" s="32">
        <v>40</v>
      </c>
      <c r="N8" s="33">
        <v>382</v>
      </c>
      <c r="O8" s="31" t="s">
        <v>89</v>
      </c>
    </row>
    <row r="9" spans="1:15" ht="18">
      <c r="A9" s="31" t="s">
        <v>90</v>
      </c>
      <c r="B9" s="32">
        <v>1</v>
      </c>
      <c r="C9" s="32">
        <v>1</v>
      </c>
      <c r="D9" s="32">
        <v>5</v>
      </c>
      <c r="E9" s="32">
        <v>6</v>
      </c>
      <c r="F9" s="32">
        <v>3</v>
      </c>
      <c r="G9" s="32">
        <v>3</v>
      </c>
      <c r="H9" s="32">
        <v>0</v>
      </c>
      <c r="I9" s="32">
        <v>2</v>
      </c>
      <c r="J9" s="32">
        <v>3</v>
      </c>
      <c r="K9" s="32">
        <v>1</v>
      </c>
      <c r="L9" s="32">
        <v>1</v>
      </c>
      <c r="M9" s="32">
        <v>2</v>
      </c>
      <c r="N9" s="33">
        <v>28</v>
      </c>
      <c r="O9" s="31" t="s">
        <v>91</v>
      </c>
    </row>
    <row r="10" spans="1:15" ht="18">
      <c r="A10" s="31" t="s">
        <v>92</v>
      </c>
      <c r="B10" s="32">
        <v>0</v>
      </c>
      <c r="C10" s="32">
        <v>0</v>
      </c>
      <c r="D10" s="32">
        <v>2</v>
      </c>
      <c r="E10" s="32">
        <v>1</v>
      </c>
      <c r="F10" s="32">
        <v>0</v>
      </c>
      <c r="G10" s="32">
        <v>2</v>
      </c>
      <c r="H10" s="32">
        <v>0</v>
      </c>
      <c r="I10" s="32">
        <v>0</v>
      </c>
      <c r="J10" s="32">
        <v>0</v>
      </c>
      <c r="K10" s="32">
        <v>0</v>
      </c>
      <c r="L10" s="32">
        <v>1</v>
      </c>
      <c r="M10" s="32">
        <v>0</v>
      </c>
      <c r="N10" s="33">
        <v>6</v>
      </c>
      <c r="O10" s="31" t="s">
        <v>93</v>
      </c>
    </row>
    <row r="11" spans="1:15" ht="18">
      <c r="A11" s="31" t="s">
        <v>94</v>
      </c>
      <c r="B11" s="32">
        <v>23</v>
      </c>
      <c r="C11" s="32">
        <v>25</v>
      </c>
      <c r="D11" s="32">
        <v>37</v>
      </c>
      <c r="E11" s="32">
        <v>26</v>
      </c>
      <c r="F11" s="32">
        <v>16</v>
      </c>
      <c r="G11" s="32">
        <v>26</v>
      </c>
      <c r="H11" s="32">
        <v>36</v>
      </c>
      <c r="I11" s="32">
        <v>16</v>
      </c>
      <c r="J11" s="32">
        <v>15</v>
      </c>
      <c r="K11" s="32">
        <v>21</v>
      </c>
      <c r="L11" s="32">
        <v>20</v>
      </c>
      <c r="M11" s="32">
        <v>25</v>
      </c>
      <c r="N11" s="33">
        <v>286</v>
      </c>
      <c r="O11" s="31" t="s">
        <v>95</v>
      </c>
    </row>
    <row r="12" spans="1:15" ht="18">
      <c r="A12" s="31" t="s">
        <v>96</v>
      </c>
      <c r="B12" s="32">
        <v>15</v>
      </c>
      <c r="C12" s="32">
        <v>10</v>
      </c>
      <c r="D12" s="32">
        <v>20</v>
      </c>
      <c r="E12" s="32">
        <v>14</v>
      </c>
      <c r="F12" s="32">
        <v>11</v>
      </c>
      <c r="G12" s="32">
        <v>19</v>
      </c>
      <c r="H12" s="32">
        <v>18</v>
      </c>
      <c r="I12" s="32">
        <v>12</v>
      </c>
      <c r="J12" s="32">
        <v>15</v>
      </c>
      <c r="K12" s="32">
        <v>11</v>
      </c>
      <c r="L12" s="32">
        <v>25</v>
      </c>
      <c r="M12" s="32">
        <v>16</v>
      </c>
      <c r="N12" s="33">
        <v>186</v>
      </c>
      <c r="O12" s="31" t="s">
        <v>97</v>
      </c>
    </row>
    <row r="13" spans="1:15" ht="18">
      <c r="A13" s="31" t="s">
        <v>98</v>
      </c>
      <c r="B13" s="32">
        <v>24</v>
      </c>
      <c r="C13" s="32">
        <v>29</v>
      </c>
      <c r="D13" s="32">
        <v>34</v>
      </c>
      <c r="E13" s="32">
        <v>27</v>
      </c>
      <c r="F13" s="32">
        <v>25</v>
      </c>
      <c r="G13" s="32">
        <v>46</v>
      </c>
      <c r="H13" s="32">
        <v>28</v>
      </c>
      <c r="I13" s="32">
        <v>35</v>
      </c>
      <c r="J13" s="32">
        <v>31</v>
      </c>
      <c r="K13" s="32">
        <v>22</v>
      </c>
      <c r="L13" s="32">
        <v>20</v>
      </c>
      <c r="M13" s="32">
        <v>29</v>
      </c>
      <c r="N13" s="33">
        <v>350</v>
      </c>
      <c r="O13" s="31" t="s">
        <v>99</v>
      </c>
    </row>
    <row r="14" spans="1:15" ht="18">
      <c r="A14" s="31" t="s">
        <v>100</v>
      </c>
      <c r="B14" s="32">
        <v>9</v>
      </c>
      <c r="C14" s="32">
        <v>5</v>
      </c>
      <c r="D14" s="32">
        <v>11</v>
      </c>
      <c r="E14" s="32">
        <v>16</v>
      </c>
      <c r="F14" s="32">
        <v>9</v>
      </c>
      <c r="G14" s="32">
        <v>9</v>
      </c>
      <c r="H14" s="32">
        <v>8</v>
      </c>
      <c r="I14" s="32">
        <v>12</v>
      </c>
      <c r="J14" s="32">
        <v>16</v>
      </c>
      <c r="K14" s="32">
        <v>6</v>
      </c>
      <c r="L14" s="32">
        <v>11</v>
      </c>
      <c r="M14" s="32">
        <v>24</v>
      </c>
      <c r="N14" s="33">
        <v>136</v>
      </c>
      <c r="O14" s="31" t="s">
        <v>101</v>
      </c>
    </row>
    <row r="15" spans="1:15" ht="18">
      <c r="A15" s="31" t="s">
        <v>102</v>
      </c>
      <c r="B15" s="32">
        <v>17</v>
      </c>
      <c r="C15" s="32">
        <v>26</v>
      </c>
      <c r="D15" s="32">
        <v>29</v>
      </c>
      <c r="E15" s="32">
        <v>18</v>
      </c>
      <c r="F15" s="32">
        <v>18</v>
      </c>
      <c r="G15" s="32">
        <v>14</v>
      </c>
      <c r="H15" s="32">
        <v>14</v>
      </c>
      <c r="I15" s="32">
        <v>17</v>
      </c>
      <c r="J15" s="32">
        <v>23</v>
      </c>
      <c r="K15" s="32">
        <v>19</v>
      </c>
      <c r="L15" s="32">
        <v>10</v>
      </c>
      <c r="M15" s="32">
        <v>13</v>
      </c>
      <c r="N15" s="33">
        <v>218</v>
      </c>
      <c r="O15" s="31" t="s">
        <v>103</v>
      </c>
    </row>
    <row r="16" spans="1:15" ht="18">
      <c r="A16" s="31" t="s">
        <v>104</v>
      </c>
      <c r="B16" s="32">
        <v>5</v>
      </c>
      <c r="C16" s="32">
        <v>4</v>
      </c>
      <c r="D16" s="32">
        <v>0</v>
      </c>
      <c r="E16" s="32">
        <v>4</v>
      </c>
      <c r="F16" s="32">
        <v>11</v>
      </c>
      <c r="G16" s="32">
        <v>3</v>
      </c>
      <c r="H16" s="32">
        <v>5</v>
      </c>
      <c r="I16" s="32">
        <v>7</v>
      </c>
      <c r="J16" s="32">
        <v>2</v>
      </c>
      <c r="K16" s="32">
        <v>1</v>
      </c>
      <c r="L16" s="32">
        <v>3</v>
      </c>
      <c r="M16" s="32">
        <v>5</v>
      </c>
      <c r="N16" s="33">
        <v>50</v>
      </c>
      <c r="O16" s="31" t="s">
        <v>105</v>
      </c>
    </row>
    <row r="17" spans="1:15" ht="18">
      <c r="A17" s="31" t="s">
        <v>106</v>
      </c>
      <c r="B17" s="32">
        <v>19</v>
      </c>
      <c r="C17" s="32">
        <v>16</v>
      </c>
      <c r="D17" s="32">
        <v>15</v>
      </c>
      <c r="E17" s="32">
        <v>33</v>
      </c>
      <c r="F17" s="32">
        <v>27</v>
      </c>
      <c r="G17" s="32">
        <v>25</v>
      </c>
      <c r="H17" s="32">
        <v>17</v>
      </c>
      <c r="I17" s="32">
        <v>11</v>
      </c>
      <c r="J17" s="32">
        <v>20</v>
      </c>
      <c r="K17" s="32">
        <v>26</v>
      </c>
      <c r="L17" s="32">
        <v>18</v>
      </c>
      <c r="M17" s="32">
        <v>18</v>
      </c>
      <c r="N17" s="33">
        <v>245</v>
      </c>
      <c r="O17" s="31" t="s">
        <v>107</v>
      </c>
    </row>
    <row r="18" spans="1:15" ht="18">
      <c r="A18" s="31" t="s">
        <v>108</v>
      </c>
      <c r="B18" s="32">
        <v>26</v>
      </c>
      <c r="C18" s="32">
        <v>31</v>
      </c>
      <c r="D18" s="32">
        <v>33</v>
      </c>
      <c r="E18" s="32">
        <v>28</v>
      </c>
      <c r="F18" s="32">
        <v>22</v>
      </c>
      <c r="G18" s="32">
        <v>15</v>
      </c>
      <c r="H18" s="32">
        <v>22</v>
      </c>
      <c r="I18" s="32">
        <v>18</v>
      </c>
      <c r="J18" s="32">
        <v>23</v>
      </c>
      <c r="K18" s="32">
        <v>22</v>
      </c>
      <c r="L18" s="32">
        <v>22</v>
      </c>
      <c r="M18" s="32">
        <v>15</v>
      </c>
      <c r="N18" s="33">
        <v>277</v>
      </c>
      <c r="O18" s="31" t="s">
        <v>109</v>
      </c>
    </row>
    <row r="19" spans="1:15" ht="18">
      <c r="A19" s="31" t="s">
        <v>110</v>
      </c>
      <c r="B19" s="32">
        <v>48</v>
      </c>
      <c r="C19" s="32">
        <v>49</v>
      </c>
      <c r="D19" s="32">
        <v>57</v>
      </c>
      <c r="E19" s="32">
        <v>64</v>
      </c>
      <c r="F19" s="32">
        <v>40</v>
      </c>
      <c r="G19" s="32">
        <v>61</v>
      </c>
      <c r="H19" s="32">
        <v>59</v>
      </c>
      <c r="I19" s="32">
        <v>45</v>
      </c>
      <c r="J19" s="32">
        <v>47</v>
      </c>
      <c r="K19" s="32">
        <v>52</v>
      </c>
      <c r="L19" s="32">
        <v>28</v>
      </c>
      <c r="M19" s="32">
        <v>54</v>
      </c>
      <c r="N19" s="33">
        <v>604</v>
      </c>
      <c r="O19" s="31" t="s">
        <v>111</v>
      </c>
    </row>
    <row r="20" spans="1:15" ht="18">
      <c r="A20" s="31" t="s">
        <v>112</v>
      </c>
      <c r="B20" s="32">
        <v>35</v>
      </c>
      <c r="C20" s="32">
        <v>26</v>
      </c>
      <c r="D20" s="32">
        <v>38</v>
      </c>
      <c r="E20" s="32">
        <v>41</v>
      </c>
      <c r="F20" s="32">
        <v>35</v>
      </c>
      <c r="G20" s="32">
        <v>39</v>
      </c>
      <c r="H20" s="32">
        <v>40</v>
      </c>
      <c r="I20" s="32">
        <v>10</v>
      </c>
      <c r="J20" s="32">
        <v>28</v>
      </c>
      <c r="K20" s="32">
        <v>29</v>
      </c>
      <c r="L20" s="32">
        <v>22</v>
      </c>
      <c r="M20" s="32">
        <v>22</v>
      </c>
      <c r="N20" s="33">
        <v>365</v>
      </c>
      <c r="O20" s="31" t="s">
        <v>113</v>
      </c>
    </row>
    <row r="21" spans="1:15" ht="18">
      <c r="A21" s="31" t="s">
        <v>114</v>
      </c>
      <c r="B21" s="32">
        <v>8</v>
      </c>
      <c r="C21" s="32">
        <v>2</v>
      </c>
      <c r="D21" s="32">
        <v>3</v>
      </c>
      <c r="E21" s="32">
        <v>9</v>
      </c>
      <c r="F21" s="32">
        <v>5</v>
      </c>
      <c r="G21" s="32">
        <v>5</v>
      </c>
      <c r="H21" s="32">
        <v>6</v>
      </c>
      <c r="I21" s="32">
        <v>2</v>
      </c>
      <c r="J21" s="32">
        <v>6</v>
      </c>
      <c r="K21" s="32">
        <v>3</v>
      </c>
      <c r="L21" s="32">
        <v>9</v>
      </c>
      <c r="M21" s="32">
        <v>2</v>
      </c>
      <c r="N21" s="33">
        <v>60</v>
      </c>
      <c r="O21" s="31" t="s">
        <v>115</v>
      </c>
    </row>
    <row r="22" spans="1:15" ht="18">
      <c r="A22" s="31" t="s">
        <v>116</v>
      </c>
      <c r="B22" s="32">
        <v>8</v>
      </c>
      <c r="C22" s="32">
        <v>4</v>
      </c>
      <c r="D22" s="32">
        <v>5</v>
      </c>
      <c r="E22" s="32">
        <v>5</v>
      </c>
      <c r="F22" s="32">
        <v>9</v>
      </c>
      <c r="G22" s="32">
        <v>6</v>
      </c>
      <c r="H22" s="32">
        <v>5</v>
      </c>
      <c r="I22" s="32">
        <v>18</v>
      </c>
      <c r="J22" s="32">
        <v>10</v>
      </c>
      <c r="K22" s="32">
        <v>11</v>
      </c>
      <c r="L22" s="32">
        <v>10</v>
      </c>
      <c r="M22" s="32">
        <v>8</v>
      </c>
      <c r="N22" s="33">
        <v>99</v>
      </c>
      <c r="O22" s="31" t="s">
        <v>117</v>
      </c>
    </row>
    <row r="23" spans="1:15" ht="18">
      <c r="A23" s="31" t="s">
        <v>118</v>
      </c>
      <c r="B23" s="32">
        <v>12</v>
      </c>
      <c r="C23" s="32">
        <v>19</v>
      </c>
      <c r="D23" s="32">
        <v>16</v>
      </c>
      <c r="E23" s="32">
        <v>38</v>
      </c>
      <c r="F23" s="32">
        <v>29</v>
      </c>
      <c r="G23" s="32">
        <v>42</v>
      </c>
      <c r="H23" s="32">
        <v>27</v>
      </c>
      <c r="I23" s="32">
        <v>15</v>
      </c>
      <c r="J23" s="32">
        <v>30</v>
      </c>
      <c r="K23" s="32">
        <v>24</v>
      </c>
      <c r="L23" s="32">
        <v>11</v>
      </c>
      <c r="M23" s="32">
        <v>25</v>
      </c>
      <c r="N23" s="33">
        <v>288</v>
      </c>
      <c r="O23" s="31" t="s">
        <v>119</v>
      </c>
    </row>
    <row r="24" spans="1:15" ht="18">
      <c r="A24" s="31" t="s">
        <v>120</v>
      </c>
      <c r="B24" s="32">
        <v>9</v>
      </c>
      <c r="C24" s="32">
        <v>8</v>
      </c>
      <c r="D24" s="32">
        <v>13</v>
      </c>
      <c r="E24" s="32">
        <v>7</v>
      </c>
      <c r="F24" s="32">
        <v>3</v>
      </c>
      <c r="G24" s="32">
        <v>8</v>
      </c>
      <c r="H24" s="32">
        <v>3</v>
      </c>
      <c r="I24" s="32">
        <v>5</v>
      </c>
      <c r="J24" s="32">
        <v>15</v>
      </c>
      <c r="K24" s="32">
        <v>14</v>
      </c>
      <c r="L24" s="32">
        <v>7</v>
      </c>
      <c r="M24" s="32">
        <v>19</v>
      </c>
      <c r="N24" s="33">
        <v>111</v>
      </c>
      <c r="O24" s="31" t="s">
        <v>121</v>
      </c>
    </row>
    <row r="25" spans="1:15" ht="18">
      <c r="A25" s="31" t="s">
        <v>122</v>
      </c>
      <c r="B25" s="32">
        <v>13</v>
      </c>
      <c r="C25" s="32">
        <v>10</v>
      </c>
      <c r="D25" s="32">
        <v>6</v>
      </c>
      <c r="E25" s="32">
        <v>9</v>
      </c>
      <c r="F25" s="32">
        <v>7</v>
      </c>
      <c r="G25" s="32">
        <v>10</v>
      </c>
      <c r="H25" s="32">
        <v>8</v>
      </c>
      <c r="I25" s="32">
        <v>10</v>
      </c>
      <c r="J25" s="32">
        <v>4</v>
      </c>
      <c r="K25" s="32">
        <v>7</v>
      </c>
      <c r="L25" s="32">
        <v>13</v>
      </c>
      <c r="M25" s="32">
        <v>13</v>
      </c>
      <c r="N25" s="33">
        <v>110</v>
      </c>
      <c r="O25" s="31" t="s">
        <v>123</v>
      </c>
    </row>
    <row r="26" spans="1:15" ht="18">
      <c r="A26" s="31" t="s">
        <v>124</v>
      </c>
      <c r="B26" s="32">
        <v>4</v>
      </c>
      <c r="C26" s="32">
        <v>4</v>
      </c>
      <c r="D26" s="32">
        <v>8</v>
      </c>
      <c r="E26" s="32">
        <v>12</v>
      </c>
      <c r="F26" s="32">
        <v>2</v>
      </c>
      <c r="G26" s="32">
        <v>3</v>
      </c>
      <c r="H26" s="32">
        <v>3</v>
      </c>
      <c r="I26" s="32">
        <v>5</v>
      </c>
      <c r="J26" s="32">
        <v>1</v>
      </c>
      <c r="K26" s="32">
        <v>5</v>
      </c>
      <c r="L26" s="32">
        <v>9</v>
      </c>
      <c r="M26" s="32">
        <v>5</v>
      </c>
      <c r="N26" s="33">
        <v>61</v>
      </c>
      <c r="O26" s="31" t="s">
        <v>125</v>
      </c>
    </row>
    <row r="27" spans="1:15" ht="18">
      <c r="A27" s="31" t="s">
        <v>126</v>
      </c>
      <c r="B27" s="32">
        <v>19</v>
      </c>
      <c r="C27" s="32">
        <v>23</v>
      </c>
      <c r="D27" s="32">
        <v>17</v>
      </c>
      <c r="E27" s="32">
        <v>12</v>
      </c>
      <c r="F27" s="32">
        <v>9</v>
      </c>
      <c r="G27" s="32">
        <v>13</v>
      </c>
      <c r="H27" s="32">
        <v>12</v>
      </c>
      <c r="I27" s="32">
        <v>20</v>
      </c>
      <c r="J27" s="32">
        <v>14</v>
      </c>
      <c r="K27" s="32">
        <v>18</v>
      </c>
      <c r="L27" s="32">
        <v>10</v>
      </c>
      <c r="M27" s="32">
        <v>10</v>
      </c>
      <c r="N27" s="33">
        <v>177</v>
      </c>
      <c r="O27" s="31" t="s">
        <v>127</v>
      </c>
    </row>
    <row r="28" spans="1:15" ht="18">
      <c r="A28" s="31" t="s">
        <v>128</v>
      </c>
      <c r="B28" s="32">
        <v>3</v>
      </c>
      <c r="C28" s="32">
        <v>4</v>
      </c>
      <c r="D28" s="32">
        <v>5</v>
      </c>
      <c r="E28" s="32">
        <v>1</v>
      </c>
      <c r="F28" s="32">
        <v>0</v>
      </c>
      <c r="G28" s="32">
        <v>1</v>
      </c>
      <c r="H28" s="32">
        <v>0</v>
      </c>
      <c r="I28" s="32">
        <v>0</v>
      </c>
      <c r="J28" s="32">
        <v>0</v>
      </c>
      <c r="K28" s="32">
        <v>1</v>
      </c>
      <c r="L28" s="32">
        <v>3</v>
      </c>
      <c r="M28" s="32">
        <v>0</v>
      </c>
      <c r="N28" s="33">
        <v>18</v>
      </c>
      <c r="O28" s="31" t="s">
        <v>129</v>
      </c>
    </row>
    <row r="29" spans="1:15" ht="18">
      <c r="A29" s="31" t="s">
        <v>134</v>
      </c>
      <c r="B29" s="32">
        <v>15</v>
      </c>
      <c r="C29" s="32">
        <v>11</v>
      </c>
      <c r="D29" s="32">
        <v>15</v>
      </c>
      <c r="E29" s="32">
        <v>17</v>
      </c>
      <c r="F29" s="32">
        <v>17</v>
      </c>
      <c r="G29" s="32">
        <v>38</v>
      </c>
      <c r="H29" s="32">
        <v>36</v>
      </c>
      <c r="I29" s="32">
        <v>63</v>
      </c>
      <c r="J29" s="32">
        <v>12</v>
      </c>
      <c r="K29" s="32">
        <v>21</v>
      </c>
      <c r="L29" s="32">
        <v>15</v>
      </c>
      <c r="M29" s="32">
        <v>15</v>
      </c>
      <c r="N29" s="33">
        <v>275</v>
      </c>
      <c r="O29" s="31" t="s">
        <v>135</v>
      </c>
    </row>
    <row r="30" spans="1:15" ht="18">
      <c r="A30" s="31" t="s">
        <v>132</v>
      </c>
      <c r="B30" s="32">
        <v>7</v>
      </c>
      <c r="C30" s="32">
        <v>4</v>
      </c>
      <c r="D30" s="32">
        <v>5</v>
      </c>
      <c r="E30" s="32">
        <v>2</v>
      </c>
      <c r="F30" s="32">
        <v>12</v>
      </c>
      <c r="G30" s="32">
        <v>2</v>
      </c>
      <c r="H30" s="32">
        <v>2</v>
      </c>
      <c r="I30" s="32">
        <v>5</v>
      </c>
      <c r="J30" s="32">
        <v>0</v>
      </c>
      <c r="K30" s="32">
        <v>5</v>
      </c>
      <c r="L30" s="32">
        <v>8</v>
      </c>
      <c r="M30" s="32">
        <v>5</v>
      </c>
      <c r="N30" s="33">
        <v>57</v>
      </c>
      <c r="O30" s="31" t="s">
        <v>133</v>
      </c>
    </row>
    <row r="31" spans="1:15" ht="18">
      <c r="A31" s="31" t="s">
        <v>130</v>
      </c>
      <c r="B31" s="32">
        <v>3</v>
      </c>
      <c r="C31" s="32">
        <v>2</v>
      </c>
      <c r="D31" s="32">
        <v>5</v>
      </c>
      <c r="E31" s="32">
        <v>10</v>
      </c>
      <c r="F31" s="32">
        <v>0</v>
      </c>
      <c r="G31" s="32">
        <v>2</v>
      </c>
      <c r="H31" s="32">
        <v>5</v>
      </c>
      <c r="I31" s="32">
        <v>4</v>
      </c>
      <c r="J31" s="32">
        <v>4</v>
      </c>
      <c r="K31" s="32">
        <v>6</v>
      </c>
      <c r="L31" s="32">
        <v>4</v>
      </c>
      <c r="M31" s="32">
        <v>2</v>
      </c>
      <c r="N31" s="33">
        <v>47</v>
      </c>
      <c r="O31" s="31" t="s">
        <v>131</v>
      </c>
    </row>
    <row r="32" spans="1:15" ht="18">
      <c r="A32" s="31" t="s">
        <v>136</v>
      </c>
      <c r="B32" s="32">
        <v>0</v>
      </c>
      <c r="C32" s="32">
        <v>0</v>
      </c>
      <c r="D32" s="32">
        <v>0</v>
      </c>
      <c r="E32" s="32">
        <v>1</v>
      </c>
      <c r="F32" s="32">
        <v>1</v>
      </c>
      <c r="G32" s="32">
        <v>1</v>
      </c>
      <c r="H32" s="32">
        <v>2</v>
      </c>
      <c r="I32" s="32">
        <v>1</v>
      </c>
      <c r="J32" s="32">
        <v>0</v>
      </c>
      <c r="K32" s="32">
        <v>0</v>
      </c>
      <c r="L32" s="32">
        <v>0</v>
      </c>
      <c r="M32" s="32">
        <v>1</v>
      </c>
      <c r="N32" s="33">
        <v>7</v>
      </c>
      <c r="O32" s="31" t="s">
        <v>137</v>
      </c>
    </row>
    <row r="33" spans="1:15" ht="18">
      <c r="A33" s="47" t="s">
        <v>138</v>
      </c>
      <c r="B33" s="48">
        <v>3</v>
      </c>
      <c r="C33" s="48">
        <v>2</v>
      </c>
      <c r="D33" s="48">
        <v>0</v>
      </c>
      <c r="E33" s="48">
        <v>9</v>
      </c>
      <c r="F33" s="48">
        <v>4</v>
      </c>
      <c r="G33" s="48">
        <v>5</v>
      </c>
      <c r="H33" s="48">
        <v>4</v>
      </c>
      <c r="I33" s="48">
        <v>6</v>
      </c>
      <c r="J33" s="48">
        <v>5</v>
      </c>
      <c r="K33" s="48">
        <v>7</v>
      </c>
      <c r="L33" s="48">
        <v>3</v>
      </c>
      <c r="M33" s="48">
        <v>3</v>
      </c>
      <c r="N33" s="49">
        <v>51</v>
      </c>
      <c r="O33" s="47" t="s">
        <v>139</v>
      </c>
    </row>
  </sheetData>
  <mergeCells count="3">
    <mergeCell ref="A4:A5"/>
    <mergeCell ref="N4:N5"/>
    <mergeCell ref="O4:O5"/>
  </mergeCells>
  <hyperlinks>
    <hyperlink ref="A1" location="'فهرس - Index'!A1" tooltip="#'فهرس - Index'!A1 - Click once to follow. Click and hold to select this cell." display="عودة للفهرس-return to Index" xr:uid="{F52F4371-73BD-457B-911B-C56570EB7A5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rightToLeft="1" workbookViewId="0">
      <selection activeCell="C15" sqref="C15"/>
    </sheetView>
  </sheetViews>
  <sheetFormatPr defaultColWidth="8.85546875" defaultRowHeight="16.5"/>
  <cols>
    <col min="1" max="4" width="23.5703125" style="3" customWidth="1"/>
    <col min="5" max="5" width="8.85546875" style="3" customWidth="1"/>
    <col min="6" max="16384" width="8.85546875" style="3"/>
  </cols>
  <sheetData>
    <row r="1" spans="1:4">
      <c r="A1" s="163" t="s">
        <v>23</v>
      </c>
    </row>
    <row r="2" spans="1:4" ht="18">
      <c r="A2" s="2" t="s">
        <v>508</v>
      </c>
      <c r="B2" s="2"/>
      <c r="C2" s="2"/>
      <c r="D2" s="2"/>
    </row>
    <row r="3" spans="1:4" ht="18">
      <c r="B3" s="2"/>
      <c r="C3" s="2"/>
      <c r="D3" s="2" t="s">
        <v>509</v>
      </c>
    </row>
    <row r="4" spans="1:4" ht="18">
      <c r="A4" s="2" t="s">
        <v>200</v>
      </c>
      <c r="B4" s="2"/>
      <c r="C4" s="2"/>
      <c r="D4" s="2" t="s">
        <v>201</v>
      </c>
    </row>
    <row r="5" spans="1:4" ht="18">
      <c r="A5" s="368" t="s">
        <v>83</v>
      </c>
      <c r="B5" s="24" t="s">
        <v>143</v>
      </c>
      <c r="C5" s="24" t="s">
        <v>144</v>
      </c>
      <c r="D5" s="24" t="s">
        <v>146</v>
      </c>
    </row>
    <row r="6" spans="1:4" ht="18">
      <c r="A6" s="347"/>
      <c r="B6" s="25" t="s">
        <v>153</v>
      </c>
      <c r="C6" s="25" t="s">
        <v>154</v>
      </c>
      <c r="D6" s="25" t="s">
        <v>150</v>
      </c>
    </row>
    <row r="7" spans="1:4" ht="18">
      <c r="A7" s="57">
        <v>2024</v>
      </c>
      <c r="B7" s="57">
        <v>4397</v>
      </c>
      <c r="C7" s="57">
        <v>863</v>
      </c>
      <c r="D7" s="58">
        <v>5260</v>
      </c>
    </row>
    <row r="8" spans="1:4" ht="18">
      <c r="A8" s="51">
        <v>2023</v>
      </c>
      <c r="B8" s="32">
        <v>4902</v>
      </c>
      <c r="C8" s="32">
        <v>959</v>
      </c>
      <c r="D8" s="33">
        <v>5861</v>
      </c>
    </row>
    <row r="9" spans="1:4" ht="18">
      <c r="A9" s="51">
        <v>2022</v>
      </c>
      <c r="B9" s="32">
        <v>1366</v>
      </c>
      <c r="C9" s="32">
        <v>6396</v>
      </c>
      <c r="D9" s="33">
        <v>7762</v>
      </c>
    </row>
    <row r="10" spans="1:4" ht="18">
      <c r="A10" s="51">
        <v>2021</v>
      </c>
      <c r="B10" s="32">
        <v>6057</v>
      </c>
      <c r="C10" s="32">
        <v>1269</v>
      </c>
      <c r="D10" s="33">
        <v>7326</v>
      </c>
    </row>
    <row r="11" spans="1:4" ht="18">
      <c r="A11" s="52">
        <v>2020</v>
      </c>
      <c r="B11" s="48">
        <v>5127</v>
      </c>
      <c r="C11" s="48">
        <v>1051</v>
      </c>
      <c r="D11" s="49">
        <v>6178</v>
      </c>
    </row>
  </sheetData>
  <mergeCells count="1">
    <mergeCell ref="A5:A6"/>
  </mergeCells>
  <hyperlinks>
    <hyperlink ref="A1" location="'فهرس - Index'!A1" tooltip="#'فهرس - Index'!A1 - Click once to follow. Click and hold to select this cell." display="عودة للفهرس-return to Index" xr:uid="{A4987E05-C9C0-4066-A23E-B9E3F46518B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4"/>
  <sheetViews>
    <sheetView rightToLeft="1" workbookViewId="0">
      <selection activeCell="K16" sqref="K16"/>
    </sheetView>
  </sheetViews>
  <sheetFormatPr defaultColWidth="8.85546875" defaultRowHeight="16.5"/>
  <cols>
    <col min="1" max="5" width="16.7109375" style="3" customWidth="1"/>
    <col min="6" max="6" width="8.85546875" style="3" customWidth="1"/>
    <col min="7" max="16384" width="8.85546875" style="3"/>
  </cols>
  <sheetData>
    <row r="1" spans="1:5">
      <c r="A1" s="163" t="s">
        <v>23</v>
      </c>
    </row>
    <row r="2" spans="1:5" ht="18">
      <c r="A2" s="2" t="s">
        <v>455</v>
      </c>
      <c r="B2" s="2"/>
      <c r="C2" s="2"/>
      <c r="D2" s="2"/>
      <c r="E2" s="2"/>
    </row>
    <row r="3" spans="1:5" ht="18">
      <c r="B3" s="2"/>
      <c r="C3" s="2"/>
      <c r="D3" s="2"/>
      <c r="E3" s="2" t="s">
        <v>483</v>
      </c>
    </row>
    <row r="4" spans="1:5" ht="18">
      <c r="A4" s="2" t="s">
        <v>202</v>
      </c>
      <c r="B4" s="2"/>
      <c r="C4" s="2"/>
      <c r="D4" s="2"/>
      <c r="E4" s="2" t="s">
        <v>203</v>
      </c>
    </row>
    <row r="5" spans="1:5" ht="18">
      <c r="A5" s="368" t="s">
        <v>83</v>
      </c>
      <c r="B5" s="43" t="s">
        <v>143</v>
      </c>
      <c r="C5" s="24" t="s">
        <v>144</v>
      </c>
      <c r="D5" s="24" t="s">
        <v>146</v>
      </c>
      <c r="E5" s="369" t="s">
        <v>84</v>
      </c>
    </row>
    <row r="6" spans="1:5" ht="18">
      <c r="A6" s="347"/>
      <c r="B6" s="44" t="s">
        <v>153</v>
      </c>
      <c r="C6" s="25" t="s">
        <v>154</v>
      </c>
      <c r="D6" s="25" t="s">
        <v>150</v>
      </c>
      <c r="E6" s="364"/>
    </row>
    <row r="7" spans="1:5" ht="18">
      <c r="A7" s="54" t="s">
        <v>85</v>
      </c>
      <c r="B7" s="55">
        <v>4397</v>
      </c>
      <c r="C7" s="55">
        <v>863</v>
      </c>
      <c r="D7" s="55">
        <v>5260</v>
      </c>
      <c r="E7" s="56" t="s">
        <v>80</v>
      </c>
    </row>
    <row r="8" spans="1:5" ht="18">
      <c r="A8" s="28" t="s">
        <v>86</v>
      </c>
      <c r="B8" s="29">
        <v>634</v>
      </c>
      <c r="C8" s="29">
        <v>132</v>
      </c>
      <c r="D8" s="30">
        <v>766</v>
      </c>
      <c r="E8" s="28" t="s">
        <v>87</v>
      </c>
    </row>
    <row r="9" spans="1:5" ht="18">
      <c r="A9" s="31" t="s">
        <v>88</v>
      </c>
      <c r="B9" s="32">
        <v>321</v>
      </c>
      <c r="C9" s="32">
        <v>61</v>
      </c>
      <c r="D9" s="33">
        <v>382</v>
      </c>
      <c r="E9" s="31" t="s">
        <v>89</v>
      </c>
    </row>
    <row r="10" spans="1:5" ht="18">
      <c r="A10" s="31" t="s">
        <v>90</v>
      </c>
      <c r="B10" s="32">
        <v>24</v>
      </c>
      <c r="C10" s="32">
        <v>4</v>
      </c>
      <c r="D10" s="33">
        <v>28</v>
      </c>
      <c r="E10" s="31" t="s">
        <v>91</v>
      </c>
    </row>
    <row r="11" spans="1:5" ht="18">
      <c r="A11" s="31" t="s">
        <v>92</v>
      </c>
      <c r="B11" s="32">
        <v>6</v>
      </c>
      <c r="C11" s="32">
        <v>0</v>
      </c>
      <c r="D11" s="33">
        <v>6</v>
      </c>
      <c r="E11" s="31" t="s">
        <v>93</v>
      </c>
    </row>
    <row r="12" spans="1:5" ht="18">
      <c r="A12" s="31" t="s">
        <v>94</v>
      </c>
      <c r="B12" s="32">
        <v>234</v>
      </c>
      <c r="C12" s="32">
        <v>52</v>
      </c>
      <c r="D12" s="33">
        <v>286</v>
      </c>
      <c r="E12" s="31" t="s">
        <v>95</v>
      </c>
    </row>
    <row r="13" spans="1:5" ht="18">
      <c r="A13" s="31" t="s">
        <v>96</v>
      </c>
      <c r="B13" s="32">
        <v>156</v>
      </c>
      <c r="C13" s="32">
        <v>30</v>
      </c>
      <c r="D13" s="33">
        <v>186</v>
      </c>
      <c r="E13" s="31" t="s">
        <v>97</v>
      </c>
    </row>
    <row r="14" spans="1:5" ht="18">
      <c r="A14" s="31" t="s">
        <v>98</v>
      </c>
      <c r="B14" s="32">
        <v>297</v>
      </c>
      <c r="C14" s="32">
        <v>53</v>
      </c>
      <c r="D14" s="33">
        <v>350</v>
      </c>
      <c r="E14" s="31" t="s">
        <v>99</v>
      </c>
    </row>
    <row r="15" spans="1:5" ht="18">
      <c r="A15" s="31" t="s">
        <v>100</v>
      </c>
      <c r="B15" s="32">
        <v>115</v>
      </c>
      <c r="C15" s="32">
        <v>21</v>
      </c>
      <c r="D15" s="33">
        <v>136</v>
      </c>
      <c r="E15" s="31" t="s">
        <v>101</v>
      </c>
    </row>
    <row r="16" spans="1:5" ht="18">
      <c r="A16" s="31" t="s">
        <v>102</v>
      </c>
      <c r="B16" s="32">
        <v>176</v>
      </c>
      <c r="C16" s="32">
        <v>42</v>
      </c>
      <c r="D16" s="33">
        <v>218</v>
      </c>
      <c r="E16" s="31" t="s">
        <v>103</v>
      </c>
    </row>
    <row r="17" spans="1:5" ht="18">
      <c r="A17" s="31" t="s">
        <v>104</v>
      </c>
      <c r="B17" s="32">
        <v>43</v>
      </c>
      <c r="C17" s="32">
        <v>7</v>
      </c>
      <c r="D17" s="33">
        <v>50</v>
      </c>
      <c r="E17" s="31" t="s">
        <v>105</v>
      </c>
    </row>
    <row r="18" spans="1:5" ht="18">
      <c r="A18" s="31" t="s">
        <v>106</v>
      </c>
      <c r="B18" s="32">
        <v>204</v>
      </c>
      <c r="C18" s="32">
        <v>41</v>
      </c>
      <c r="D18" s="33">
        <v>245</v>
      </c>
      <c r="E18" s="31" t="s">
        <v>107</v>
      </c>
    </row>
    <row r="19" spans="1:5" ht="18">
      <c r="A19" s="31" t="s">
        <v>108</v>
      </c>
      <c r="B19" s="32">
        <v>240</v>
      </c>
      <c r="C19" s="32">
        <v>37</v>
      </c>
      <c r="D19" s="33">
        <v>277</v>
      </c>
      <c r="E19" s="31" t="s">
        <v>109</v>
      </c>
    </row>
    <row r="20" spans="1:5" ht="18">
      <c r="A20" s="31" t="s">
        <v>110</v>
      </c>
      <c r="B20" s="32">
        <v>498</v>
      </c>
      <c r="C20" s="32">
        <v>106</v>
      </c>
      <c r="D20" s="33">
        <v>604</v>
      </c>
      <c r="E20" s="31" t="s">
        <v>111</v>
      </c>
    </row>
    <row r="21" spans="1:5" ht="18">
      <c r="A21" s="31" t="s">
        <v>112</v>
      </c>
      <c r="B21" s="32">
        <v>295</v>
      </c>
      <c r="C21" s="32">
        <v>70</v>
      </c>
      <c r="D21" s="33">
        <v>365</v>
      </c>
      <c r="E21" s="31" t="s">
        <v>113</v>
      </c>
    </row>
    <row r="22" spans="1:5" ht="18">
      <c r="A22" s="31" t="s">
        <v>114</v>
      </c>
      <c r="B22" s="32">
        <v>52</v>
      </c>
      <c r="C22" s="32">
        <v>8</v>
      </c>
      <c r="D22" s="33">
        <v>60</v>
      </c>
      <c r="E22" s="31" t="s">
        <v>115</v>
      </c>
    </row>
    <row r="23" spans="1:5" ht="18">
      <c r="A23" s="31" t="s">
        <v>116</v>
      </c>
      <c r="B23" s="32">
        <v>83</v>
      </c>
      <c r="C23" s="32">
        <v>16</v>
      </c>
      <c r="D23" s="33">
        <v>99</v>
      </c>
      <c r="E23" s="31" t="s">
        <v>117</v>
      </c>
    </row>
    <row r="24" spans="1:5" ht="18">
      <c r="A24" s="31" t="s">
        <v>118</v>
      </c>
      <c r="B24" s="32">
        <v>242</v>
      </c>
      <c r="C24" s="32">
        <v>46</v>
      </c>
      <c r="D24" s="33">
        <v>288</v>
      </c>
      <c r="E24" s="31" t="s">
        <v>119</v>
      </c>
    </row>
    <row r="25" spans="1:5" ht="18">
      <c r="A25" s="31" t="s">
        <v>120</v>
      </c>
      <c r="B25" s="32">
        <v>95</v>
      </c>
      <c r="C25" s="32">
        <v>16</v>
      </c>
      <c r="D25" s="33">
        <v>111</v>
      </c>
      <c r="E25" s="31" t="s">
        <v>121</v>
      </c>
    </row>
    <row r="26" spans="1:5" ht="18">
      <c r="A26" s="31" t="s">
        <v>122</v>
      </c>
      <c r="B26" s="32">
        <v>88</v>
      </c>
      <c r="C26" s="32">
        <v>22</v>
      </c>
      <c r="D26" s="33">
        <v>110</v>
      </c>
      <c r="E26" s="31" t="s">
        <v>123</v>
      </c>
    </row>
    <row r="27" spans="1:5" ht="18">
      <c r="A27" s="31" t="s">
        <v>124</v>
      </c>
      <c r="B27" s="32">
        <v>52</v>
      </c>
      <c r="C27" s="32">
        <v>9</v>
      </c>
      <c r="D27" s="33">
        <v>61</v>
      </c>
      <c r="E27" s="31" t="s">
        <v>125</v>
      </c>
    </row>
    <row r="28" spans="1:5" ht="18">
      <c r="A28" s="31" t="s">
        <v>126</v>
      </c>
      <c r="B28" s="32">
        <v>151</v>
      </c>
      <c r="C28" s="32">
        <v>26</v>
      </c>
      <c r="D28" s="33">
        <v>177</v>
      </c>
      <c r="E28" s="31" t="s">
        <v>127</v>
      </c>
    </row>
    <row r="29" spans="1:5" ht="18">
      <c r="A29" s="31" t="s">
        <v>128</v>
      </c>
      <c r="B29" s="32">
        <v>15</v>
      </c>
      <c r="C29" s="32">
        <v>3</v>
      </c>
      <c r="D29" s="33">
        <v>18</v>
      </c>
      <c r="E29" s="31" t="s">
        <v>129</v>
      </c>
    </row>
    <row r="30" spans="1:5" ht="18">
      <c r="A30" s="31" t="s">
        <v>134</v>
      </c>
      <c r="B30" s="32">
        <v>232</v>
      </c>
      <c r="C30" s="32">
        <v>43</v>
      </c>
      <c r="D30" s="33">
        <v>275</v>
      </c>
      <c r="E30" s="31" t="s">
        <v>135</v>
      </c>
    </row>
    <row r="31" spans="1:5" ht="18">
      <c r="A31" s="31" t="s">
        <v>132</v>
      </c>
      <c r="B31" s="32">
        <v>53</v>
      </c>
      <c r="C31" s="32">
        <v>4</v>
      </c>
      <c r="D31" s="33">
        <v>57</v>
      </c>
      <c r="E31" s="31" t="s">
        <v>133</v>
      </c>
    </row>
    <row r="32" spans="1:5" ht="18">
      <c r="A32" s="31" t="s">
        <v>130</v>
      </c>
      <c r="B32" s="32">
        <v>45</v>
      </c>
      <c r="C32" s="32">
        <v>2</v>
      </c>
      <c r="D32" s="33">
        <v>47</v>
      </c>
      <c r="E32" s="31" t="s">
        <v>131</v>
      </c>
    </row>
    <row r="33" spans="1:5" ht="18">
      <c r="A33" s="31" t="s">
        <v>136</v>
      </c>
      <c r="B33" s="32">
        <v>6</v>
      </c>
      <c r="C33" s="32">
        <v>1</v>
      </c>
      <c r="D33" s="33">
        <v>7</v>
      </c>
      <c r="E33" s="31" t="s">
        <v>137</v>
      </c>
    </row>
    <row r="34" spans="1:5" ht="18">
      <c r="A34" s="47" t="s">
        <v>138</v>
      </c>
      <c r="B34" s="48">
        <v>40</v>
      </c>
      <c r="C34" s="48">
        <v>11</v>
      </c>
      <c r="D34" s="49">
        <v>51</v>
      </c>
      <c r="E34" s="47" t="s">
        <v>139</v>
      </c>
    </row>
  </sheetData>
  <mergeCells count="2">
    <mergeCell ref="A5:A6"/>
    <mergeCell ref="E5:E6"/>
  </mergeCells>
  <hyperlinks>
    <hyperlink ref="A1" location="'فهرس - Index'!A1" tooltip="#'فهرس - Index'!A1 - Click once to follow. Click and hold to select this cell." display="عودة للفهرس-return to Index" xr:uid="{607A5C98-EB11-4B6A-BC8D-F67D058F69C8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"/>
  <sheetViews>
    <sheetView rightToLeft="1" workbookViewId="0">
      <selection activeCell="D16" sqref="D16"/>
    </sheetView>
  </sheetViews>
  <sheetFormatPr defaultColWidth="8.85546875" defaultRowHeight="16.5"/>
  <cols>
    <col min="1" max="3" width="15.140625" style="3" customWidth="1"/>
    <col min="4" max="4" width="22.140625" style="3" customWidth="1"/>
    <col min="5" max="10" width="15.140625" style="3" customWidth="1"/>
    <col min="11" max="11" width="8.85546875" style="3" customWidth="1"/>
    <col min="12" max="16384" width="8.85546875" style="3"/>
  </cols>
  <sheetData>
    <row r="1" spans="1:10">
      <c r="A1" s="163" t="s">
        <v>23</v>
      </c>
    </row>
    <row r="2" spans="1:10" ht="18">
      <c r="A2" s="2" t="s">
        <v>443</v>
      </c>
      <c r="B2" s="2"/>
      <c r="C2" s="2"/>
      <c r="D2" s="2"/>
      <c r="E2" s="370" t="s">
        <v>515</v>
      </c>
      <c r="F2" s="370"/>
      <c r="G2" s="370"/>
      <c r="H2" s="370"/>
      <c r="I2" s="370"/>
      <c r="J2" s="370"/>
    </row>
    <row r="3" spans="1:10" ht="18">
      <c r="A3" s="2" t="s">
        <v>204</v>
      </c>
      <c r="B3" s="2"/>
      <c r="C3" s="2"/>
      <c r="D3" s="2"/>
      <c r="E3" s="2"/>
      <c r="F3" s="2"/>
      <c r="G3" s="2"/>
      <c r="H3" s="2"/>
      <c r="I3" s="2"/>
      <c r="J3" s="2" t="s">
        <v>205</v>
      </c>
    </row>
    <row r="4" spans="1:10" ht="18">
      <c r="A4" s="367" t="s">
        <v>83</v>
      </c>
      <c r="B4" s="24" t="s">
        <v>157</v>
      </c>
      <c r="C4" s="158">
        <v>-5</v>
      </c>
      <c r="D4" s="158">
        <f>-15</f>
        <v>-15</v>
      </c>
      <c r="E4" s="158" t="s">
        <v>160</v>
      </c>
      <c r="F4" s="158" t="s">
        <v>161</v>
      </c>
      <c r="G4" s="158" t="s">
        <v>162</v>
      </c>
      <c r="H4" s="158" t="s">
        <v>163</v>
      </c>
      <c r="I4" s="67" t="s">
        <v>164</v>
      </c>
      <c r="J4" s="24" t="s">
        <v>146</v>
      </c>
    </row>
    <row r="5" spans="1:10" ht="18">
      <c r="A5" s="347"/>
      <c r="B5" s="25" t="s">
        <v>165</v>
      </c>
      <c r="C5" s="69">
        <v>-5</v>
      </c>
      <c r="D5" s="69">
        <v>-15</v>
      </c>
      <c r="E5" s="69">
        <v>-25</v>
      </c>
      <c r="F5" s="69">
        <v>-35</v>
      </c>
      <c r="G5" s="69">
        <v>-45</v>
      </c>
      <c r="H5" s="69">
        <v>-55</v>
      </c>
      <c r="I5" s="69" t="s">
        <v>166</v>
      </c>
      <c r="J5" s="25" t="s">
        <v>80</v>
      </c>
    </row>
    <row r="6" spans="1:10" ht="18">
      <c r="A6" s="50">
        <v>2024</v>
      </c>
      <c r="B6" s="29">
        <v>218</v>
      </c>
      <c r="C6" s="29">
        <v>505</v>
      </c>
      <c r="D6" s="29">
        <v>1219</v>
      </c>
      <c r="E6" s="29">
        <v>796</v>
      </c>
      <c r="F6" s="29">
        <v>746</v>
      </c>
      <c r="G6" s="29">
        <v>623</v>
      </c>
      <c r="H6" s="29">
        <v>613</v>
      </c>
      <c r="I6" s="29">
        <v>540</v>
      </c>
      <c r="J6" s="30">
        <v>5260</v>
      </c>
    </row>
    <row r="7" spans="1:10" ht="18">
      <c r="A7" s="51">
        <v>2023</v>
      </c>
      <c r="B7" s="32">
        <v>291</v>
      </c>
      <c r="C7" s="32">
        <v>575</v>
      </c>
      <c r="D7" s="32">
        <v>1409</v>
      </c>
      <c r="E7" s="32">
        <v>822</v>
      </c>
      <c r="F7" s="32">
        <v>891</v>
      </c>
      <c r="G7" s="32">
        <v>691</v>
      </c>
      <c r="H7" s="32">
        <v>668</v>
      </c>
      <c r="I7" s="32">
        <v>514</v>
      </c>
      <c r="J7" s="33">
        <v>5861</v>
      </c>
    </row>
    <row r="8" spans="1:10" ht="18">
      <c r="A8" s="51">
        <v>2022</v>
      </c>
      <c r="B8" s="32">
        <v>401</v>
      </c>
      <c r="C8" s="32">
        <v>754</v>
      </c>
      <c r="D8" s="32">
        <v>1809</v>
      </c>
      <c r="E8" s="32">
        <v>1271</v>
      </c>
      <c r="F8" s="32">
        <v>1146</v>
      </c>
      <c r="G8" s="32">
        <v>914</v>
      </c>
      <c r="H8" s="32">
        <v>786</v>
      </c>
      <c r="I8" s="32">
        <v>681</v>
      </c>
      <c r="J8" s="33">
        <v>7762</v>
      </c>
    </row>
    <row r="9" spans="1:10" ht="18">
      <c r="A9" s="51">
        <v>2021</v>
      </c>
      <c r="B9" s="32">
        <v>420</v>
      </c>
      <c r="C9" s="32">
        <v>684</v>
      </c>
      <c r="D9" s="32">
        <v>1656</v>
      </c>
      <c r="E9" s="32">
        <v>1234</v>
      </c>
      <c r="F9" s="32">
        <v>1086</v>
      </c>
      <c r="G9" s="32">
        <v>802</v>
      </c>
      <c r="H9" s="32">
        <v>784</v>
      </c>
      <c r="I9" s="32">
        <v>660</v>
      </c>
      <c r="J9" s="33">
        <v>7326</v>
      </c>
    </row>
    <row r="10" spans="1:10" ht="18">
      <c r="A10" s="52">
        <v>2020</v>
      </c>
      <c r="B10" s="48">
        <v>419</v>
      </c>
      <c r="C10" s="48">
        <v>629</v>
      </c>
      <c r="D10" s="48">
        <v>1274</v>
      </c>
      <c r="E10" s="48">
        <v>1038</v>
      </c>
      <c r="F10" s="48">
        <v>908</v>
      </c>
      <c r="G10" s="48">
        <v>691</v>
      </c>
      <c r="H10" s="48">
        <v>640</v>
      </c>
      <c r="I10" s="48">
        <v>579</v>
      </c>
      <c r="J10" s="49">
        <v>6178</v>
      </c>
    </row>
  </sheetData>
  <mergeCells count="2">
    <mergeCell ref="A4:A5"/>
    <mergeCell ref="E2:J2"/>
  </mergeCells>
  <hyperlinks>
    <hyperlink ref="A1" location="'فهرس - Index'!A1" tooltip="#'فهرس - Index'!A1 - Click once to follow. Click and hold to select this cell." display="عودة للفهرس-return to Index" xr:uid="{35BE6A9F-E427-49EF-91AB-964F7E3247CB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3"/>
  <sheetViews>
    <sheetView rightToLeft="1" workbookViewId="0">
      <selection activeCell="M22" sqref="M22"/>
    </sheetView>
  </sheetViews>
  <sheetFormatPr defaultColWidth="8.85546875" defaultRowHeight="16.5"/>
  <cols>
    <col min="1" max="11" width="14.5703125" style="3" customWidth="1"/>
    <col min="12" max="12" width="8.85546875" style="3" customWidth="1"/>
    <col min="13" max="16384" width="8.85546875" style="3"/>
  </cols>
  <sheetData>
    <row r="1" spans="1:11">
      <c r="A1" s="163" t="s">
        <v>23</v>
      </c>
    </row>
    <row r="2" spans="1:11" ht="18">
      <c r="A2" s="2" t="s">
        <v>456</v>
      </c>
      <c r="B2" s="2"/>
      <c r="C2" s="2"/>
      <c r="D2" s="2"/>
      <c r="E2" s="2"/>
      <c r="F2" s="370" t="s">
        <v>484</v>
      </c>
      <c r="G2" s="370"/>
      <c r="H2" s="370"/>
      <c r="I2" s="370"/>
      <c r="J2" s="370"/>
      <c r="K2" s="370"/>
    </row>
    <row r="3" spans="1:11" ht="18">
      <c r="A3" s="2" t="s">
        <v>206</v>
      </c>
      <c r="B3" s="2"/>
      <c r="C3" s="2"/>
      <c r="D3" s="2"/>
      <c r="E3" s="2"/>
      <c r="F3" s="2"/>
      <c r="G3" s="2"/>
      <c r="H3" s="2"/>
      <c r="I3" s="2"/>
      <c r="K3" s="2" t="s">
        <v>207</v>
      </c>
    </row>
    <row r="4" spans="1:11" ht="18">
      <c r="A4" s="368" t="s">
        <v>83</v>
      </c>
      <c r="B4" s="24" t="s">
        <v>157</v>
      </c>
      <c r="C4" s="158">
        <v>-5</v>
      </c>
      <c r="D4" s="158">
        <f>-15</f>
        <v>-15</v>
      </c>
      <c r="E4" s="24" t="s">
        <v>160</v>
      </c>
      <c r="F4" s="24" t="s">
        <v>161</v>
      </c>
      <c r="G4" s="24" t="s">
        <v>162</v>
      </c>
      <c r="H4" s="24" t="s">
        <v>163</v>
      </c>
      <c r="I4" s="67" t="s">
        <v>164</v>
      </c>
      <c r="J4" s="24" t="s">
        <v>146</v>
      </c>
      <c r="K4" s="371" t="s">
        <v>84</v>
      </c>
    </row>
    <row r="5" spans="1:11" ht="18">
      <c r="A5" s="347"/>
      <c r="B5" s="25" t="s">
        <v>165</v>
      </c>
      <c r="C5" s="25">
        <v>-5</v>
      </c>
      <c r="D5" s="25">
        <v>-15</v>
      </c>
      <c r="E5" s="25">
        <v>-25</v>
      </c>
      <c r="F5" s="25">
        <v>-35</v>
      </c>
      <c r="G5" s="25">
        <v>-45</v>
      </c>
      <c r="H5" s="25">
        <v>-55</v>
      </c>
      <c r="I5" s="25" t="s">
        <v>166</v>
      </c>
      <c r="J5" s="25" t="s">
        <v>80</v>
      </c>
      <c r="K5" s="372"/>
    </row>
    <row r="6" spans="1:11" ht="18">
      <c r="A6" s="45" t="s">
        <v>85</v>
      </c>
      <c r="B6" s="46">
        <v>218</v>
      </c>
      <c r="C6" s="46">
        <v>505</v>
      </c>
      <c r="D6" s="46">
        <v>1219</v>
      </c>
      <c r="E6" s="46">
        <v>796</v>
      </c>
      <c r="F6" s="46">
        <v>746</v>
      </c>
      <c r="G6" s="46">
        <v>623</v>
      </c>
      <c r="H6" s="46">
        <v>613</v>
      </c>
      <c r="I6" s="46">
        <v>540</v>
      </c>
      <c r="J6" s="46">
        <v>5260</v>
      </c>
      <c r="K6" s="45" t="s">
        <v>80</v>
      </c>
    </row>
    <row r="7" spans="1:11" ht="18">
      <c r="A7" s="28" t="s">
        <v>245</v>
      </c>
      <c r="B7" s="29">
        <v>14</v>
      </c>
      <c r="C7" s="29">
        <v>52</v>
      </c>
      <c r="D7" s="29">
        <v>160</v>
      </c>
      <c r="E7" s="29">
        <v>127</v>
      </c>
      <c r="F7" s="29">
        <v>108</v>
      </c>
      <c r="G7" s="29">
        <v>90</v>
      </c>
      <c r="H7" s="29">
        <v>111</v>
      </c>
      <c r="I7" s="29">
        <v>104</v>
      </c>
      <c r="J7" s="30">
        <v>766</v>
      </c>
      <c r="K7" s="28" t="s">
        <v>87</v>
      </c>
    </row>
    <row r="8" spans="1:11" ht="18">
      <c r="A8" s="31" t="s">
        <v>271</v>
      </c>
      <c r="B8" s="32">
        <v>17</v>
      </c>
      <c r="C8" s="32">
        <v>30</v>
      </c>
      <c r="D8" s="32">
        <v>68</v>
      </c>
      <c r="E8" s="32">
        <v>64</v>
      </c>
      <c r="F8" s="32">
        <v>57</v>
      </c>
      <c r="G8" s="32">
        <v>43</v>
      </c>
      <c r="H8" s="32">
        <v>42</v>
      </c>
      <c r="I8" s="32">
        <v>61</v>
      </c>
      <c r="J8" s="33">
        <v>382</v>
      </c>
      <c r="K8" s="31" t="s">
        <v>89</v>
      </c>
    </row>
    <row r="9" spans="1:11" ht="18">
      <c r="A9" s="31" t="s">
        <v>90</v>
      </c>
      <c r="B9" s="32">
        <v>0</v>
      </c>
      <c r="C9" s="32">
        <v>1</v>
      </c>
      <c r="D9" s="32">
        <v>8</v>
      </c>
      <c r="E9" s="32">
        <v>5</v>
      </c>
      <c r="F9" s="32">
        <v>3</v>
      </c>
      <c r="G9" s="32">
        <v>6</v>
      </c>
      <c r="H9" s="32">
        <v>4</v>
      </c>
      <c r="I9" s="32">
        <v>1</v>
      </c>
      <c r="J9" s="33">
        <v>28</v>
      </c>
      <c r="K9" s="31" t="s">
        <v>91</v>
      </c>
    </row>
    <row r="10" spans="1:11" ht="18">
      <c r="A10" s="31" t="s">
        <v>92</v>
      </c>
      <c r="B10" s="32">
        <v>0</v>
      </c>
      <c r="C10" s="32">
        <v>0</v>
      </c>
      <c r="D10" s="32">
        <v>1</v>
      </c>
      <c r="E10" s="32">
        <v>2</v>
      </c>
      <c r="F10" s="32">
        <v>0</v>
      </c>
      <c r="G10" s="32">
        <v>1</v>
      </c>
      <c r="H10" s="32">
        <v>2</v>
      </c>
      <c r="I10" s="32">
        <v>0</v>
      </c>
      <c r="J10" s="33">
        <v>6</v>
      </c>
      <c r="K10" s="31" t="s">
        <v>93</v>
      </c>
    </row>
    <row r="11" spans="1:11" ht="18">
      <c r="A11" s="31" t="s">
        <v>269</v>
      </c>
      <c r="B11" s="32">
        <v>9</v>
      </c>
      <c r="C11" s="32">
        <v>36</v>
      </c>
      <c r="D11" s="32">
        <v>57</v>
      </c>
      <c r="E11" s="32">
        <v>38</v>
      </c>
      <c r="F11" s="32">
        <v>43</v>
      </c>
      <c r="G11" s="32">
        <v>43</v>
      </c>
      <c r="H11" s="32">
        <v>30</v>
      </c>
      <c r="I11" s="32">
        <v>30</v>
      </c>
      <c r="J11" s="33">
        <v>286</v>
      </c>
      <c r="K11" s="31" t="s">
        <v>95</v>
      </c>
    </row>
    <row r="12" spans="1:11" ht="18">
      <c r="A12" s="31" t="s">
        <v>96</v>
      </c>
      <c r="B12" s="32">
        <v>3</v>
      </c>
      <c r="C12" s="32">
        <v>17</v>
      </c>
      <c r="D12" s="32">
        <v>54</v>
      </c>
      <c r="E12" s="32">
        <v>25</v>
      </c>
      <c r="F12" s="32">
        <v>9</v>
      </c>
      <c r="G12" s="32">
        <v>20</v>
      </c>
      <c r="H12" s="32">
        <v>18</v>
      </c>
      <c r="I12" s="32">
        <v>40</v>
      </c>
      <c r="J12" s="33">
        <v>186</v>
      </c>
      <c r="K12" s="31" t="s">
        <v>97</v>
      </c>
    </row>
    <row r="13" spans="1:11" ht="18">
      <c r="A13" s="31" t="s">
        <v>274</v>
      </c>
      <c r="B13" s="32">
        <v>9</v>
      </c>
      <c r="C13" s="32">
        <v>43</v>
      </c>
      <c r="D13" s="32">
        <v>113</v>
      </c>
      <c r="E13" s="32">
        <v>33</v>
      </c>
      <c r="F13" s="32">
        <v>28</v>
      </c>
      <c r="G13" s="32">
        <v>32</v>
      </c>
      <c r="H13" s="32">
        <v>48</v>
      </c>
      <c r="I13" s="32">
        <v>44</v>
      </c>
      <c r="J13" s="33">
        <v>350</v>
      </c>
      <c r="K13" s="31" t="s">
        <v>99</v>
      </c>
    </row>
    <row r="14" spans="1:11" ht="18">
      <c r="A14" s="31" t="s">
        <v>268</v>
      </c>
      <c r="B14" s="32">
        <v>9</v>
      </c>
      <c r="C14" s="32">
        <v>22</v>
      </c>
      <c r="D14" s="32">
        <v>41</v>
      </c>
      <c r="E14" s="32">
        <v>17</v>
      </c>
      <c r="F14" s="32">
        <v>18</v>
      </c>
      <c r="G14" s="32">
        <v>14</v>
      </c>
      <c r="H14" s="32">
        <v>12</v>
      </c>
      <c r="I14" s="32">
        <v>3</v>
      </c>
      <c r="J14" s="33">
        <v>136</v>
      </c>
      <c r="K14" s="31" t="s">
        <v>101</v>
      </c>
    </row>
    <row r="15" spans="1:11" ht="18">
      <c r="A15" s="31" t="s">
        <v>267</v>
      </c>
      <c r="B15" s="32">
        <v>5</v>
      </c>
      <c r="C15" s="32">
        <v>14</v>
      </c>
      <c r="D15" s="32">
        <v>50</v>
      </c>
      <c r="E15" s="32">
        <v>33</v>
      </c>
      <c r="F15" s="32">
        <v>37</v>
      </c>
      <c r="G15" s="32">
        <v>29</v>
      </c>
      <c r="H15" s="32">
        <v>29</v>
      </c>
      <c r="I15" s="32">
        <v>21</v>
      </c>
      <c r="J15" s="33">
        <v>218</v>
      </c>
      <c r="K15" s="31" t="s">
        <v>103</v>
      </c>
    </row>
    <row r="16" spans="1:11" ht="18">
      <c r="A16" s="31" t="s">
        <v>104</v>
      </c>
      <c r="B16" s="32">
        <v>2</v>
      </c>
      <c r="C16" s="32">
        <v>10</v>
      </c>
      <c r="D16" s="32">
        <v>17</v>
      </c>
      <c r="E16" s="32">
        <v>2</v>
      </c>
      <c r="F16" s="32">
        <v>2</v>
      </c>
      <c r="G16" s="32">
        <v>5</v>
      </c>
      <c r="H16" s="32">
        <v>7</v>
      </c>
      <c r="I16" s="32">
        <v>5</v>
      </c>
      <c r="J16" s="33">
        <v>50</v>
      </c>
      <c r="K16" s="31" t="s">
        <v>105</v>
      </c>
    </row>
    <row r="17" spans="1:11" ht="18">
      <c r="A17" s="31" t="s">
        <v>252</v>
      </c>
      <c r="B17" s="32">
        <v>11</v>
      </c>
      <c r="C17" s="32">
        <v>21</v>
      </c>
      <c r="D17" s="32">
        <v>53</v>
      </c>
      <c r="E17" s="32">
        <v>37</v>
      </c>
      <c r="F17" s="32">
        <v>34</v>
      </c>
      <c r="G17" s="32">
        <v>31</v>
      </c>
      <c r="H17" s="32">
        <v>32</v>
      </c>
      <c r="I17" s="32">
        <v>26</v>
      </c>
      <c r="J17" s="33">
        <v>245</v>
      </c>
      <c r="K17" s="31" t="s">
        <v>107</v>
      </c>
    </row>
    <row r="18" spans="1:11" ht="18">
      <c r="A18" s="31" t="s">
        <v>270</v>
      </c>
      <c r="B18" s="32">
        <v>6</v>
      </c>
      <c r="C18" s="32">
        <v>32</v>
      </c>
      <c r="D18" s="32">
        <v>84</v>
      </c>
      <c r="E18" s="32">
        <v>27</v>
      </c>
      <c r="F18" s="32">
        <v>37</v>
      </c>
      <c r="G18" s="32">
        <v>29</v>
      </c>
      <c r="H18" s="32">
        <v>33</v>
      </c>
      <c r="I18" s="32">
        <v>29</v>
      </c>
      <c r="J18" s="33">
        <v>277</v>
      </c>
      <c r="K18" s="31" t="s">
        <v>109</v>
      </c>
    </row>
    <row r="19" spans="1:11" ht="18">
      <c r="A19" s="31" t="s">
        <v>254</v>
      </c>
      <c r="B19" s="32">
        <v>32</v>
      </c>
      <c r="C19" s="32">
        <v>55</v>
      </c>
      <c r="D19" s="32">
        <v>137</v>
      </c>
      <c r="E19" s="32">
        <v>79</v>
      </c>
      <c r="F19" s="32">
        <v>93</v>
      </c>
      <c r="G19" s="32">
        <v>79</v>
      </c>
      <c r="H19" s="32">
        <v>76</v>
      </c>
      <c r="I19" s="32">
        <v>53</v>
      </c>
      <c r="J19" s="33">
        <v>604</v>
      </c>
      <c r="K19" s="31" t="s">
        <v>111</v>
      </c>
    </row>
    <row r="20" spans="1:11" ht="18">
      <c r="A20" s="31" t="s">
        <v>272</v>
      </c>
      <c r="B20" s="32">
        <v>20</v>
      </c>
      <c r="C20" s="32">
        <v>32</v>
      </c>
      <c r="D20" s="32">
        <v>67</v>
      </c>
      <c r="E20" s="32">
        <v>64</v>
      </c>
      <c r="F20" s="32">
        <v>73</v>
      </c>
      <c r="G20" s="32">
        <v>41</v>
      </c>
      <c r="H20" s="32">
        <v>44</v>
      </c>
      <c r="I20" s="32">
        <v>24</v>
      </c>
      <c r="J20" s="33">
        <v>365</v>
      </c>
      <c r="K20" s="31" t="s">
        <v>113</v>
      </c>
    </row>
    <row r="21" spans="1:11" ht="18">
      <c r="A21" s="31" t="s">
        <v>114</v>
      </c>
      <c r="B21" s="32">
        <v>3</v>
      </c>
      <c r="C21" s="32">
        <v>6</v>
      </c>
      <c r="D21" s="32">
        <v>15</v>
      </c>
      <c r="E21" s="32">
        <v>13</v>
      </c>
      <c r="F21" s="32">
        <v>6</v>
      </c>
      <c r="G21" s="32">
        <v>9</v>
      </c>
      <c r="H21" s="32">
        <v>7</v>
      </c>
      <c r="I21" s="32">
        <v>1</v>
      </c>
      <c r="J21" s="33">
        <v>60</v>
      </c>
      <c r="K21" s="31" t="s">
        <v>115</v>
      </c>
    </row>
    <row r="22" spans="1:11" ht="18">
      <c r="A22" s="31" t="s">
        <v>116</v>
      </c>
      <c r="B22" s="32">
        <v>6</v>
      </c>
      <c r="C22" s="32">
        <v>9</v>
      </c>
      <c r="D22" s="32">
        <v>28</v>
      </c>
      <c r="E22" s="32">
        <v>19</v>
      </c>
      <c r="F22" s="32">
        <v>8</v>
      </c>
      <c r="G22" s="32">
        <v>10</v>
      </c>
      <c r="H22" s="32">
        <v>11</v>
      </c>
      <c r="I22" s="32">
        <v>8</v>
      </c>
      <c r="J22" s="33">
        <v>99</v>
      </c>
      <c r="K22" s="31" t="s">
        <v>117</v>
      </c>
    </row>
    <row r="23" spans="1:11" ht="18">
      <c r="A23" s="31" t="s">
        <v>118</v>
      </c>
      <c r="B23" s="32">
        <v>15</v>
      </c>
      <c r="C23" s="32">
        <v>34</v>
      </c>
      <c r="D23" s="32">
        <v>58</v>
      </c>
      <c r="E23" s="32">
        <v>40</v>
      </c>
      <c r="F23" s="32">
        <v>39</v>
      </c>
      <c r="G23" s="32">
        <v>48</v>
      </c>
      <c r="H23" s="32">
        <v>31</v>
      </c>
      <c r="I23" s="32">
        <v>23</v>
      </c>
      <c r="J23" s="33">
        <v>288</v>
      </c>
      <c r="K23" s="31" t="s">
        <v>119</v>
      </c>
    </row>
    <row r="24" spans="1:11" ht="18">
      <c r="A24" s="31" t="s">
        <v>120</v>
      </c>
      <c r="B24" s="32">
        <v>14</v>
      </c>
      <c r="C24" s="32">
        <v>19</v>
      </c>
      <c r="D24" s="32">
        <v>23</v>
      </c>
      <c r="E24" s="32">
        <v>14</v>
      </c>
      <c r="F24" s="32">
        <v>19</v>
      </c>
      <c r="G24" s="32">
        <v>7</v>
      </c>
      <c r="H24" s="32">
        <v>9</v>
      </c>
      <c r="I24" s="32">
        <v>6</v>
      </c>
      <c r="J24" s="33">
        <v>111</v>
      </c>
      <c r="K24" s="31" t="s">
        <v>121</v>
      </c>
    </row>
    <row r="25" spans="1:11" ht="18">
      <c r="A25" s="31" t="s">
        <v>122</v>
      </c>
      <c r="B25" s="32">
        <v>12</v>
      </c>
      <c r="C25" s="32">
        <v>12</v>
      </c>
      <c r="D25" s="32">
        <v>27</v>
      </c>
      <c r="E25" s="32">
        <v>14</v>
      </c>
      <c r="F25" s="32">
        <v>13</v>
      </c>
      <c r="G25" s="32">
        <v>10</v>
      </c>
      <c r="H25" s="32">
        <v>11</v>
      </c>
      <c r="I25" s="32">
        <v>11</v>
      </c>
      <c r="J25" s="33">
        <v>110</v>
      </c>
      <c r="K25" s="31" t="s">
        <v>123</v>
      </c>
    </row>
    <row r="26" spans="1:11" ht="18">
      <c r="A26" s="31" t="s">
        <v>124</v>
      </c>
      <c r="B26" s="32">
        <v>4</v>
      </c>
      <c r="C26" s="32">
        <v>7</v>
      </c>
      <c r="D26" s="32">
        <v>20</v>
      </c>
      <c r="E26" s="32">
        <v>7</v>
      </c>
      <c r="F26" s="32">
        <v>9</v>
      </c>
      <c r="G26" s="32">
        <v>7</v>
      </c>
      <c r="H26" s="32">
        <v>4</v>
      </c>
      <c r="I26" s="32">
        <v>3</v>
      </c>
      <c r="J26" s="33">
        <v>61</v>
      </c>
      <c r="K26" s="31" t="s">
        <v>125</v>
      </c>
    </row>
    <row r="27" spans="1:11" ht="18">
      <c r="A27" s="31" t="s">
        <v>126</v>
      </c>
      <c r="B27" s="32">
        <v>9</v>
      </c>
      <c r="C27" s="32">
        <v>18</v>
      </c>
      <c r="D27" s="32">
        <v>37</v>
      </c>
      <c r="E27" s="32">
        <v>42</v>
      </c>
      <c r="F27" s="32">
        <v>22</v>
      </c>
      <c r="G27" s="32">
        <v>20</v>
      </c>
      <c r="H27" s="32">
        <v>15</v>
      </c>
      <c r="I27" s="32">
        <v>14</v>
      </c>
      <c r="J27" s="33">
        <v>177</v>
      </c>
      <c r="K27" s="31" t="s">
        <v>127</v>
      </c>
    </row>
    <row r="28" spans="1:11" ht="18">
      <c r="A28" s="31" t="s">
        <v>128</v>
      </c>
      <c r="B28" s="32">
        <v>2</v>
      </c>
      <c r="C28" s="32">
        <v>1</v>
      </c>
      <c r="D28" s="32">
        <v>5</v>
      </c>
      <c r="E28" s="32">
        <v>2</v>
      </c>
      <c r="F28" s="32">
        <v>2</v>
      </c>
      <c r="G28" s="32">
        <v>3</v>
      </c>
      <c r="H28" s="32">
        <v>1</v>
      </c>
      <c r="I28" s="32">
        <v>2</v>
      </c>
      <c r="J28" s="33">
        <v>18</v>
      </c>
      <c r="K28" s="31" t="s">
        <v>129</v>
      </c>
    </row>
    <row r="29" spans="1:11" ht="18">
      <c r="A29" s="31" t="s">
        <v>134</v>
      </c>
      <c r="B29" s="32">
        <v>9</v>
      </c>
      <c r="C29" s="32">
        <v>25</v>
      </c>
      <c r="D29" s="32">
        <v>56</v>
      </c>
      <c r="E29" s="32">
        <v>57</v>
      </c>
      <c r="F29" s="32">
        <v>57</v>
      </c>
      <c r="G29" s="32">
        <v>28</v>
      </c>
      <c r="H29" s="32">
        <v>22</v>
      </c>
      <c r="I29" s="32">
        <v>21</v>
      </c>
      <c r="J29" s="33">
        <v>275</v>
      </c>
      <c r="K29" s="31" t="s">
        <v>135</v>
      </c>
    </row>
    <row r="30" spans="1:11" ht="18">
      <c r="A30" s="31" t="s">
        <v>132</v>
      </c>
      <c r="B30" s="32">
        <v>4</v>
      </c>
      <c r="C30" s="32">
        <v>5</v>
      </c>
      <c r="D30" s="32">
        <v>12</v>
      </c>
      <c r="E30" s="32">
        <v>14</v>
      </c>
      <c r="F30" s="32">
        <v>7</v>
      </c>
      <c r="G30" s="32">
        <v>6</v>
      </c>
      <c r="H30" s="32">
        <v>4</v>
      </c>
      <c r="I30" s="32">
        <v>5</v>
      </c>
      <c r="J30" s="33">
        <v>57</v>
      </c>
      <c r="K30" s="31" t="s">
        <v>133</v>
      </c>
    </row>
    <row r="31" spans="1:11" ht="18">
      <c r="A31" s="31" t="s">
        <v>130</v>
      </c>
      <c r="B31" s="32">
        <v>1</v>
      </c>
      <c r="C31" s="32">
        <v>0</v>
      </c>
      <c r="D31" s="32">
        <v>10</v>
      </c>
      <c r="E31" s="32">
        <v>9</v>
      </c>
      <c r="F31" s="32">
        <v>15</v>
      </c>
      <c r="G31" s="32">
        <v>6</v>
      </c>
      <c r="H31" s="32">
        <v>3</v>
      </c>
      <c r="I31" s="32">
        <v>3</v>
      </c>
      <c r="J31" s="33">
        <v>47</v>
      </c>
      <c r="K31" s="31" t="s">
        <v>131</v>
      </c>
    </row>
    <row r="32" spans="1:11" ht="18">
      <c r="A32" s="31" t="s">
        <v>136</v>
      </c>
      <c r="B32" s="32">
        <v>1</v>
      </c>
      <c r="C32" s="32">
        <v>2</v>
      </c>
      <c r="D32" s="32">
        <v>1</v>
      </c>
      <c r="E32" s="32">
        <v>2</v>
      </c>
      <c r="F32" s="32">
        <v>0</v>
      </c>
      <c r="G32" s="32">
        <v>1</v>
      </c>
      <c r="H32" s="32">
        <v>0</v>
      </c>
      <c r="I32" s="32">
        <v>0</v>
      </c>
      <c r="J32" s="33">
        <v>7</v>
      </c>
      <c r="K32" s="31" t="s">
        <v>137</v>
      </c>
    </row>
    <row r="33" spans="1:11" ht="18">
      <c r="A33" s="47" t="s">
        <v>138</v>
      </c>
      <c r="B33" s="48">
        <v>1</v>
      </c>
      <c r="C33" s="48">
        <v>2</v>
      </c>
      <c r="D33" s="48">
        <v>17</v>
      </c>
      <c r="E33" s="48">
        <v>10</v>
      </c>
      <c r="F33" s="48">
        <v>7</v>
      </c>
      <c r="G33" s="48">
        <v>5</v>
      </c>
      <c r="H33" s="48">
        <v>7</v>
      </c>
      <c r="I33" s="48">
        <v>2</v>
      </c>
      <c r="J33" s="49">
        <v>51</v>
      </c>
      <c r="K33" s="47" t="s">
        <v>139</v>
      </c>
    </row>
  </sheetData>
  <mergeCells count="3">
    <mergeCell ref="K4:K5"/>
    <mergeCell ref="A4:A5"/>
    <mergeCell ref="F2:K2"/>
  </mergeCells>
  <hyperlinks>
    <hyperlink ref="A1" location="'فهرس - Index'!A1" tooltip="#'فهرس - Index'!A1 - Click once to follow. Click and hold to select this cell." display="عودة للفهرس-return to Index" xr:uid="{9EAE5C81-BD13-43C6-91BE-387A10C07F9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1"/>
  <sheetViews>
    <sheetView rightToLeft="1" workbookViewId="0">
      <selection activeCell="C20" sqref="C20"/>
    </sheetView>
  </sheetViews>
  <sheetFormatPr defaultColWidth="8.85546875" defaultRowHeight="16.5"/>
  <cols>
    <col min="1" max="1" width="14" style="3" customWidth="1"/>
    <col min="2" max="5" width="16.7109375" style="3" customWidth="1"/>
    <col min="6" max="6" width="14" style="3" customWidth="1"/>
    <col min="7" max="7" width="8.85546875" style="3" customWidth="1"/>
    <col min="8" max="16384" width="8.85546875" style="3"/>
  </cols>
  <sheetData>
    <row r="1" spans="1:6">
      <c r="A1" s="163" t="s">
        <v>23</v>
      </c>
    </row>
    <row r="2" spans="1:6" ht="18">
      <c r="A2" s="2" t="s">
        <v>444</v>
      </c>
      <c r="B2" s="2"/>
      <c r="C2" s="2"/>
      <c r="D2" s="2"/>
      <c r="E2" s="2"/>
      <c r="F2" s="2"/>
    </row>
    <row r="3" spans="1:6" ht="18">
      <c r="B3" s="2"/>
      <c r="C3" s="370" t="s">
        <v>516</v>
      </c>
      <c r="D3" s="370"/>
      <c r="E3" s="370"/>
      <c r="F3" s="370"/>
    </row>
    <row r="4" spans="1:6" ht="18">
      <c r="A4" s="2" t="s">
        <v>208</v>
      </c>
      <c r="B4" s="2"/>
      <c r="C4" s="2"/>
      <c r="D4" s="2"/>
      <c r="E4" s="2"/>
      <c r="F4" s="2" t="s">
        <v>209</v>
      </c>
    </row>
    <row r="5" spans="1:6" ht="18">
      <c r="A5" s="368" t="s">
        <v>54</v>
      </c>
      <c r="B5" s="24" t="s">
        <v>210</v>
      </c>
      <c r="C5" s="24" t="s">
        <v>172</v>
      </c>
      <c r="D5" s="24" t="s">
        <v>173</v>
      </c>
      <c r="E5" s="24" t="s">
        <v>211</v>
      </c>
      <c r="F5" s="24" t="s">
        <v>146</v>
      </c>
    </row>
    <row r="6" spans="1:6" ht="18">
      <c r="A6" s="347"/>
      <c r="B6" s="25" t="s">
        <v>517</v>
      </c>
      <c r="C6" s="25" t="s">
        <v>177</v>
      </c>
      <c r="D6" s="25" t="s">
        <v>178</v>
      </c>
      <c r="E6" s="25" t="s">
        <v>180</v>
      </c>
      <c r="F6" s="25" t="s">
        <v>80</v>
      </c>
    </row>
    <row r="7" spans="1:6" ht="18">
      <c r="A7" s="29">
        <v>2024</v>
      </c>
      <c r="B7" s="29">
        <v>2125</v>
      </c>
      <c r="C7" s="29">
        <v>1202</v>
      </c>
      <c r="D7" s="29">
        <v>1174</v>
      </c>
      <c r="E7" s="29">
        <v>759</v>
      </c>
      <c r="F7" s="30">
        <v>5260</v>
      </c>
    </row>
    <row r="8" spans="1:6" ht="18">
      <c r="A8" s="32">
        <v>2023</v>
      </c>
      <c r="B8" s="32">
        <v>2199</v>
      </c>
      <c r="C8" s="32">
        <v>1442</v>
      </c>
      <c r="D8" s="32">
        <v>1382</v>
      </c>
      <c r="E8" s="32">
        <v>838</v>
      </c>
      <c r="F8" s="33">
        <v>5861</v>
      </c>
    </row>
    <row r="9" spans="1:6" ht="18">
      <c r="A9" s="32">
        <v>2022</v>
      </c>
      <c r="B9" s="32">
        <v>2270</v>
      </c>
      <c r="C9" s="32">
        <v>2052</v>
      </c>
      <c r="D9" s="32">
        <v>1835</v>
      </c>
      <c r="E9" s="32">
        <v>1605</v>
      </c>
      <c r="F9" s="33">
        <v>7762</v>
      </c>
    </row>
    <row r="10" spans="1:6" ht="18">
      <c r="A10" s="32">
        <v>2021</v>
      </c>
      <c r="B10" s="32">
        <v>707</v>
      </c>
      <c r="C10" s="32">
        <v>301</v>
      </c>
      <c r="D10" s="32">
        <v>860</v>
      </c>
      <c r="E10" s="32">
        <v>5458</v>
      </c>
      <c r="F10" s="33">
        <v>7326</v>
      </c>
    </row>
    <row r="11" spans="1:6" ht="18">
      <c r="A11" s="48">
        <v>2020</v>
      </c>
      <c r="B11" s="48">
        <v>868</v>
      </c>
      <c r="C11" s="48">
        <v>280</v>
      </c>
      <c r="D11" s="48">
        <v>679</v>
      </c>
      <c r="E11" s="48">
        <v>4351</v>
      </c>
      <c r="F11" s="49">
        <v>6178</v>
      </c>
    </row>
  </sheetData>
  <mergeCells count="2">
    <mergeCell ref="A5:A6"/>
    <mergeCell ref="C3:F3"/>
  </mergeCells>
  <hyperlinks>
    <hyperlink ref="A1" location="'فهرس - Index'!A1" tooltip="#'فهرس - Index'!A1 - Click once to follow. Click and hold to select this cell." display="عودة للفهرس-return to Index" xr:uid="{9BFF024F-4DF5-4F93-8BBB-6AB4A0E9B4D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rightToLeft="1" workbookViewId="0">
      <selection activeCell="J12" sqref="J12"/>
    </sheetView>
  </sheetViews>
  <sheetFormatPr defaultColWidth="8.85546875" defaultRowHeight="16.5"/>
  <cols>
    <col min="1" max="7" width="16.140625" style="3" customWidth="1"/>
    <col min="8" max="8" width="8.85546875" style="3" customWidth="1"/>
    <col min="9" max="16384" width="8.85546875" style="3"/>
  </cols>
  <sheetData>
    <row r="1" spans="1:7">
      <c r="A1" s="163" t="s">
        <v>23</v>
      </c>
    </row>
    <row r="2" spans="1:7" ht="18">
      <c r="A2" s="2" t="s">
        <v>457</v>
      </c>
      <c r="B2" s="2"/>
      <c r="C2" s="2"/>
      <c r="D2" s="2"/>
      <c r="E2" s="2"/>
      <c r="F2" s="2"/>
      <c r="G2" s="2"/>
    </row>
    <row r="3" spans="1:7" ht="18">
      <c r="B3" s="370" t="s">
        <v>485</v>
      </c>
      <c r="C3" s="370"/>
      <c r="D3" s="370"/>
      <c r="E3" s="370"/>
      <c r="F3" s="370"/>
      <c r="G3" s="370"/>
    </row>
    <row r="4" spans="1:7" ht="18">
      <c r="A4" s="2" t="s">
        <v>212</v>
      </c>
      <c r="B4" s="2"/>
      <c r="C4" s="2"/>
      <c r="D4" s="2"/>
      <c r="E4" s="2"/>
      <c r="F4" s="2"/>
      <c r="G4" s="2" t="s">
        <v>213</v>
      </c>
    </row>
    <row r="5" spans="1:7" ht="36">
      <c r="A5" s="373" t="s">
        <v>83</v>
      </c>
      <c r="B5" s="24" t="s">
        <v>210</v>
      </c>
      <c r="C5" s="24" t="s">
        <v>172</v>
      </c>
      <c r="D5" s="24" t="s">
        <v>173</v>
      </c>
      <c r="E5" s="24" t="s">
        <v>211</v>
      </c>
      <c r="F5" s="24" t="s">
        <v>85</v>
      </c>
      <c r="G5" s="374" t="s">
        <v>84</v>
      </c>
    </row>
    <row r="6" spans="1:7" ht="36">
      <c r="A6" s="346"/>
      <c r="B6" s="25" t="s">
        <v>518</v>
      </c>
      <c r="C6" s="25" t="s">
        <v>177</v>
      </c>
      <c r="D6" s="25" t="s">
        <v>183</v>
      </c>
      <c r="E6" s="25" t="s">
        <v>180</v>
      </c>
      <c r="F6" s="25" t="s">
        <v>80</v>
      </c>
      <c r="G6" s="358"/>
    </row>
    <row r="7" spans="1:7" ht="18">
      <c r="A7" s="26" t="s">
        <v>85</v>
      </c>
      <c r="B7" s="27">
        <v>2125</v>
      </c>
      <c r="C7" s="27">
        <v>1202</v>
      </c>
      <c r="D7" s="27">
        <v>1174</v>
      </c>
      <c r="E7" s="27">
        <v>759</v>
      </c>
      <c r="F7" s="27">
        <v>5260</v>
      </c>
      <c r="G7" s="26" t="s">
        <v>80</v>
      </c>
    </row>
    <row r="8" spans="1:7" ht="18">
      <c r="A8" s="28" t="s">
        <v>245</v>
      </c>
      <c r="B8" s="29">
        <v>456</v>
      </c>
      <c r="C8" s="29">
        <v>134</v>
      </c>
      <c r="D8" s="29">
        <v>94</v>
      </c>
      <c r="E8" s="29">
        <v>82</v>
      </c>
      <c r="F8" s="30">
        <v>766</v>
      </c>
      <c r="G8" s="28" t="s">
        <v>87</v>
      </c>
    </row>
    <row r="9" spans="1:7" ht="18">
      <c r="A9" s="31" t="s">
        <v>271</v>
      </c>
      <c r="B9" s="32">
        <v>253</v>
      </c>
      <c r="C9" s="32">
        <v>58</v>
      </c>
      <c r="D9" s="32">
        <v>48</v>
      </c>
      <c r="E9" s="32">
        <v>23</v>
      </c>
      <c r="F9" s="33">
        <v>382</v>
      </c>
      <c r="G9" s="31" t="s">
        <v>89</v>
      </c>
    </row>
    <row r="10" spans="1:7" ht="18">
      <c r="A10" s="31" t="s">
        <v>90</v>
      </c>
      <c r="B10" s="32">
        <v>7</v>
      </c>
      <c r="C10" s="32">
        <v>9</v>
      </c>
      <c r="D10" s="32">
        <v>7</v>
      </c>
      <c r="E10" s="32">
        <v>5</v>
      </c>
      <c r="F10" s="33">
        <v>28</v>
      </c>
      <c r="G10" s="31" t="s">
        <v>91</v>
      </c>
    </row>
    <row r="11" spans="1:7" ht="18">
      <c r="A11" s="31" t="s">
        <v>92</v>
      </c>
      <c r="B11" s="32">
        <v>2</v>
      </c>
      <c r="C11" s="32">
        <v>3</v>
      </c>
      <c r="D11" s="32">
        <v>0</v>
      </c>
      <c r="E11" s="32">
        <v>1</v>
      </c>
      <c r="F11" s="33">
        <v>6</v>
      </c>
      <c r="G11" s="31" t="s">
        <v>93</v>
      </c>
    </row>
    <row r="12" spans="1:7" ht="18">
      <c r="A12" s="31" t="s">
        <v>269</v>
      </c>
      <c r="B12" s="32">
        <v>129</v>
      </c>
      <c r="C12" s="32">
        <v>64</v>
      </c>
      <c r="D12" s="32">
        <v>83</v>
      </c>
      <c r="E12" s="32">
        <v>10</v>
      </c>
      <c r="F12" s="33">
        <v>286</v>
      </c>
      <c r="G12" s="31" t="s">
        <v>95</v>
      </c>
    </row>
    <row r="13" spans="1:7" ht="18">
      <c r="A13" s="31" t="s">
        <v>96</v>
      </c>
      <c r="B13" s="32">
        <v>41</v>
      </c>
      <c r="C13" s="32">
        <v>62</v>
      </c>
      <c r="D13" s="32">
        <v>18</v>
      </c>
      <c r="E13" s="32">
        <v>65</v>
      </c>
      <c r="F13" s="33">
        <v>186</v>
      </c>
      <c r="G13" s="31" t="s">
        <v>97</v>
      </c>
    </row>
    <row r="14" spans="1:7" ht="18">
      <c r="A14" s="31" t="s">
        <v>274</v>
      </c>
      <c r="B14" s="32">
        <v>103</v>
      </c>
      <c r="C14" s="32">
        <v>121</v>
      </c>
      <c r="D14" s="32">
        <v>99</v>
      </c>
      <c r="E14" s="32">
        <v>27</v>
      </c>
      <c r="F14" s="33">
        <v>350</v>
      </c>
      <c r="G14" s="31" t="s">
        <v>99</v>
      </c>
    </row>
    <row r="15" spans="1:7" ht="18">
      <c r="A15" s="31" t="s">
        <v>268</v>
      </c>
      <c r="B15" s="32">
        <v>47</v>
      </c>
      <c r="C15" s="32">
        <v>46</v>
      </c>
      <c r="D15" s="32">
        <v>29</v>
      </c>
      <c r="E15" s="32">
        <v>14</v>
      </c>
      <c r="F15" s="33">
        <v>136</v>
      </c>
      <c r="G15" s="31" t="s">
        <v>101</v>
      </c>
    </row>
    <row r="16" spans="1:7" ht="18">
      <c r="A16" s="31" t="s">
        <v>267</v>
      </c>
      <c r="B16" s="32">
        <v>124</v>
      </c>
      <c r="C16" s="32">
        <v>40</v>
      </c>
      <c r="D16" s="32">
        <v>27</v>
      </c>
      <c r="E16" s="32">
        <v>27</v>
      </c>
      <c r="F16" s="33">
        <v>218</v>
      </c>
      <c r="G16" s="31" t="s">
        <v>103</v>
      </c>
    </row>
    <row r="17" spans="1:7" ht="18">
      <c r="A17" s="31" t="s">
        <v>104</v>
      </c>
      <c r="B17" s="32">
        <v>11</v>
      </c>
      <c r="C17" s="32">
        <v>12</v>
      </c>
      <c r="D17" s="32">
        <v>6</v>
      </c>
      <c r="E17" s="32">
        <v>21</v>
      </c>
      <c r="F17" s="33">
        <v>50</v>
      </c>
      <c r="G17" s="31" t="s">
        <v>105</v>
      </c>
    </row>
    <row r="18" spans="1:7" ht="18">
      <c r="A18" s="31" t="s">
        <v>252</v>
      </c>
      <c r="B18" s="32">
        <v>112</v>
      </c>
      <c r="C18" s="32">
        <v>54</v>
      </c>
      <c r="D18" s="32">
        <v>43</v>
      </c>
      <c r="E18" s="32">
        <v>36</v>
      </c>
      <c r="F18" s="33">
        <v>245</v>
      </c>
      <c r="G18" s="31" t="s">
        <v>107</v>
      </c>
    </row>
    <row r="19" spans="1:7" ht="18">
      <c r="A19" s="31" t="s">
        <v>270</v>
      </c>
      <c r="B19" s="32">
        <v>93</v>
      </c>
      <c r="C19" s="32">
        <v>74</v>
      </c>
      <c r="D19" s="32">
        <v>38</v>
      </c>
      <c r="E19" s="32">
        <v>72</v>
      </c>
      <c r="F19" s="33">
        <v>277</v>
      </c>
      <c r="G19" s="31" t="s">
        <v>109</v>
      </c>
    </row>
    <row r="20" spans="1:7" ht="18">
      <c r="A20" s="31" t="s">
        <v>254</v>
      </c>
      <c r="B20" s="32">
        <v>273</v>
      </c>
      <c r="C20" s="32">
        <v>77</v>
      </c>
      <c r="D20" s="32">
        <v>203</v>
      </c>
      <c r="E20" s="32">
        <v>51</v>
      </c>
      <c r="F20" s="33">
        <v>604</v>
      </c>
      <c r="G20" s="31" t="s">
        <v>111</v>
      </c>
    </row>
    <row r="21" spans="1:7" ht="18">
      <c r="A21" s="31" t="s">
        <v>272</v>
      </c>
      <c r="B21" s="32">
        <v>134</v>
      </c>
      <c r="C21" s="32">
        <v>70</v>
      </c>
      <c r="D21" s="32">
        <v>37</v>
      </c>
      <c r="E21" s="32">
        <v>124</v>
      </c>
      <c r="F21" s="33">
        <v>365</v>
      </c>
      <c r="G21" s="31" t="s">
        <v>113</v>
      </c>
    </row>
    <row r="22" spans="1:7" ht="18">
      <c r="A22" s="31" t="s">
        <v>114</v>
      </c>
      <c r="B22" s="32">
        <v>22</v>
      </c>
      <c r="C22" s="32">
        <v>24</v>
      </c>
      <c r="D22" s="32">
        <v>7</v>
      </c>
      <c r="E22" s="32">
        <v>7</v>
      </c>
      <c r="F22" s="33">
        <v>60</v>
      </c>
      <c r="G22" s="31" t="s">
        <v>115</v>
      </c>
    </row>
    <row r="23" spans="1:7" ht="18">
      <c r="A23" s="31" t="s">
        <v>116</v>
      </c>
      <c r="B23" s="32">
        <v>24</v>
      </c>
      <c r="C23" s="32">
        <v>42</v>
      </c>
      <c r="D23" s="32">
        <v>26</v>
      </c>
      <c r="E23" s="32">
        <v>7</v>
      </c>
      <c r="F23" s="33">
        <v>99</v>
      </c>
      <c r="G23" s="31" t="s">
        <v>117</v>
      </c>
    </row>
    <row r="24" spans="1:7" ht="18">
      <c r="A24" s="31" t="s">
        <v>118</v>
      </c>
      <c r="B24" s="32">
        <v>67</v>
      </c>
      <c r="C24" s="32">
        <v>80</v>
      </c>
      <c r="D24" s="32">
        <v>114</v>
      </c>
      <c r="E24" s="32">
        <v>27</v>
      </c>
      <c r="F24" s="33">
        <v>288</v>
      </c>
      <c r="G24" s="31" t="s">
        <v>119</v>
      </c>
    </row>
    <row r="25" spans="1:7" ht="18">
      <c r="A25" s="31" t="s">
        <v>120</v>
      </c>
      <c r="B25" s="32">
        <v>29</v>
      </c>
      <c r="C25" s="32">
        <v>13</v>
      </c>
      <c r="D25" s="32">
        <v>40</v>
      </c>
      <c r="E25" s="32">
        <v>29</v>
      </c>
      <c r="F25" s="33">
        <v>111</v>
      </c>
      <c r="G25" s="31" t="s">
        <v>121</v>
      </c>
    </row>
    <row r="26" spans="1:7" ht="18">
      <c r="A26" s="31" t="s">
        <v>122</v>
      </c>
      <c r="B26" s="32">
        <v>40</v>
      </c>
      <c r="C26" s="32">
        <v>13</v>
      </c>
      <c r="D26" s="32">
        <v>13</v>
      </c>
      <c r="E26" s="32">
        <v>44</v>
      </c>
      <c r="F26" s="33">
        <v>110</v>
      </c>
      <c r="G26" s="31" t="s">
        <v>123</v>
      </c>
    </row>
    <row r="27" spans="1:7" ht="18">
      <c r="A27" s="31" t="s">
        <v>124</v>
      </c>
      <c r="B27" s="32">
        <v>17</v>
      </c>
      <c r="C27" s="32">
        <v>21</v>
      </c>
      <c r="D27" s="32">
        <v>10</v>
      </c>
      <c r="E27" s="32">
        <v>13</v>
      </c>
      <c r="F27" s="33">
        <v>61</v>
      </c>
      <c r="G27" s="31" t="s">
        <v>125</v>
      </c>
    </row>
    <row r="28" spans="1:7" ht="18">
      <c r="A28" s="31" t="s">
        <v>126</v>
      </c>
      <c r="B28" s="32">
        <v>28</v>
      </c>
      <c r="C28" s="32">
        <v>44</v>
      </c>
      <c r="D28" s="32">
        <v>69</v>
      </c>
      <c r="E28" s="32">
        <v>36</v>
      </c>
      <c r="F28" s="33">
        <v>177</v>
      </c>
      <c r="G28" s="31" t="s">
        <v>127</v>
      </c>
    </row>
    <row r="29" spans="1:7" ht="18">
      <c r="A29" s="31" t="s">
        <v>128</v>
      </c>
      <c r="B29" s="32">
        <v>8</v>
      </c>
      <c r="C29" s="32">
        <v>7</v>
      </c>
      <c r="D29" s="32">
        <v>3</v>
      </c>
      <c r="E29" s="32">
        <v>0</v>
      </c>
      <c r="F29" s="33">
        <v>18</v>
      </c>
      <c r="G29" s="31" t="s">
        <v>129</v>
      </c>
    </row>
    <row r="30" spans="1:7" ht="18">
      <c r="A30" s="31" t="s">
        <v>134</v>
      </c>
      <c r="B30" s="32">
        <v>78</v>
      </c>
      <c r="C30" s="32">
        <v>76</v>
      </c>
      <c r="D30" s="32">
        <v>105</v>
      </c>
      <c r="E30" s="32">
        <v>16</v>
      </c>
      <c r="F30" s="33">
        <v>275</v>
      </c>
      <c r="G30" s="31" t="s">
        <v>135</v>
      </c>
    </row>
    <row r="31" spans="1:7" ht="18">
      <c r="A31" s="31" t="s">
        <v>132</v>
      </c>
      <c r="B31" s="32">
        <v>2</v>
      </c>
      <c r="C31" s="32">
        <v>23</v>
      </c>
      <c r="D31" s="32">
        <v>22</v>
      </c>
      <c r="E31" s="32">
        <v>10</v>
      </c>
      <c r="F31" s="33">
        <v>57</v>
      </c>
      <c r="G31" s="31" t="s">
        <v>133</v>
      </c>
    </row>
    <row r="32" spans="1:7" ht="18">
      <c r="A32" s="31" t="s">
        <v>130</v>
      </c>
      <c r="B32" s="32">
        <v>11</v>
      </c>
      <c r="C32" s="32">
        <v>14</v>
      </c>
      <c r="D32" s="32">
        <v>16</v>
      </c>
      <c r="E32" s="32">
        <v>6</v>
      </c>
      <c r="F32" s="33">
        <v>47</v>
      </c>
      <c r="G32" s="31" t="s">
        <v>131</v>
      </c>
    </row>
    <row r="33" spans="1:7" ht="18">
      <c r="A33" s="31" t="s">
        <v>136</v>
      </c>
      <c r="B33" s="32">
        <v>2</v>
      </c>
      <c r="C33" s="32">
        <v>2</v>
      </c>
      <c r="D33" s="32">
        <v>3</v>
      </c>
      <c r="E33" s="32">
        <v>0</v>
      </c>
      <c r="F33" s="33">
        <v>7</v>
      </c>
      <c r="G33" s="31" t="s">
        <v>137</v>
      </c>
    </row>
    <row r="34" spans="1:7" ht="18">
      <c r="A34" s="47" t="s">
        <v>138</v>
      </c>
      <c r="B34" s="48">
        <v>12</v>
      </c>
      <c r="C34" s="48">
        <v>19</v>
      </c>
      <c r="D34" s="48">
        <v>14</v>
      </c>
      <c r="E34" s="48">
        <v>6</v>
      </c>
      <c r="F34" s="49">
        <v>51</v>
      </c>
      <c r="G34" s="47" t="s">
        <v>139</v>
      </c>
    </row>
  </sheetData>
  <mergeCells count="3">
    <mergeCell ref="A5:A6"/>
    <mergeCell ref="G5:G6"/>
    <mergeCell ref="B3:G3"/>
  </mergeCells>
  <hyperlinks>
    <hyperlink ref="A1" location="'فهرس - Index'!A1" tooltip="#'فهرس - Index'!A1 - Click once to follow. Click and hold to select this cell." display="عودة للفهرس-return to Index" xr:uid="{89E62579-4422-4098-9777-AD4C1BA47D89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1"/>
  <sheetViews>
    <sheetView rightToLeft="1" workbookViewId="0">
      <selection activeCell="C17" sqref="C17"/>
    </sheetView>
  </sheetViews>
  <sheetFormatPr defaultColWidth="8.85546875" defaultRowHeight="16.5"/>
  <cols>
    <col min="1" max="1" width="14.7109375" style="3" customWidth="1"/>
    <col min="2" max="4" width="16.28515625" style="3" customWidth="1"/>
    <col min="5" max="5" width="19.7109375" style="3" customWidth="1"/>
    <col min="6" max="6" width="16.28515625" style="3" customWidth="1"/>
    <col min="7" max="7" width="8.85546875" style="3" customWidth="1"/>
    <col min="8" max="16384" width="8.85546875" style="3"/>
  </cols>
  <sheetData>
    <row r="1" spans="1:6">
      <c r="A1" s="163" t="s">
        <v>23</v>
      </c>
    </row>
    <row r="2" spans="1:6" ht="18">
      <c r="A2" s="2" t="s">
        <v>417</v>
      </c>
      <c r="B2" s="2"/>
      <c r="C2" s="2"/>
      <c r="D2" s="2"/>
      <c r="E2" s="2"/>
      <c r="F2" s="2"/>
    </row>
    <row r="3" spans="1:6" ht="18">
      <c r="B3" s="2"/>
      <c r="C3" s="2"/>
      <c r="D3" s="2"/>
      <c r="E3" s="2"/>
      <c r="F3" s="2" t="s">
        <v>418</v>
      </c>
    </row>
    <row r="4" spans="1:6" ht="18">
      <c r="A4" s="2" t="s">
        <v>214</v>
      </c>
      <c r="B4" s="2"/>
      <c r="C4" s="2"/>
      <c r="D4" s="2"/>
      <c r="E4" s="2"/>
      <c r="F4" s="2" t="s">
        <v>215</v>
      </c>
    </row>
    <row r="5" spans="1:6" ht="27.6" customHeight="1">
      <c r="A5" s="368" t="s">
        <v>54</v>
      </c>
      <c r="B5" s="24" t="s">
        <v>216</v>
      </c>
      <c r="C5" s="24" t="s">
        <v>187</v>
      </c>
      <c r="D5" s="24" t="s">
        <v>429</v>
      </c>
      <c r="E5" s="24" t="s">
        <v>211</v>
      </c>
      <c r="F5" s="24" t="s">
        <v>67</v>
      </c>
    </row>
    <row r="6" spans="1:6" ht="18">
      <c r="A6" s="347"/>
      <c r="B6" s="25" t="s">
        <v>190</v>
      </c>
      <c r="C6" s="25" t="s">
        <v>191</v>
      </c>
      <c r="D6" s="25" t="s">
        <v>217</v>
      </c>
      <c r="E6" s="25" t="s">
        <v>180</v>
      </c>
      <c r="F6" s="25" t="s">
        <v>80</v>
      </c>
    </row>
    <row r="7" spans="1:6" ht="18">
      <c r="A7" s="169">
        <v>2024</v>
      </c>
      <c r="B7" s="166">
        <v>2955</v>
      </c>
      <c r="C7" s="166">
        <v>223</v>
      </c>
      <c r="D7" s="166">
        <v>897</v>
      </c>
      <c r="E7" s="166">
        <v>1185</v>
      </c>
      <c r="F7" s="187">
        <v>5260</v>
      </c>
    </row>
    <row r="8" spans="1:6" ht="18">
      <c r="A8" s="169">
        <v>2023</v>
      </c>
      <c r="B8" s="166">
        <v>3412</v>
      </c>
      <c r="C8" s="166">
        <v>192</v>
      </c>
      <c r="D8" s="166">
        <v>970</v>
      </c>
      <c r="E8" s="166">
        <v>1287</v>
      </c>
      <c r="F8" s="188">
        <f>E8+D8+C8+B8</f>
        <v>5861</v>
      </c>
    </row>
    <row r="9" spans="1:6" ht="18">
      <c r="A9" s="169">
        <v>2022</v>
      </c>
      <c r="B9" s="166">
        <v>4652</v>
      </c>
      <c r="C9" s="166">
        <v>251</v>
      </c>
      <c r="D9" s="166">
        <v>1015</v>
      </c>
      <c r="E9" s="166">
        <v>1844</v>
      </c>
      <c r="F9" s="188">
        <f t="shared" ref="F9:F11" si="0">E9+D9+C9+B9</f>
        <v>7762</v>
      </c>
    </row>
    <row r="10" spans="1:6" ht="18">
      <c r="A10" s="169">
        <v>2021</v>
      </c>
      <c r="B10" s="166">
        <v>1490</v>
      </c>
      <c r="C10" s="166">
        <v>97</v>
      </c>
      <c r="D10" s="166">
        <v>214</v>
      </c>
      <c r="E10" s="166">
        <v>5525</v>
      </c>
      <c r="F10" s="188">
        <f t="shared" si="0"/>
        <v>7326</v>
      </c>
    </row>
    <row r="11" spans="1:6" ht="18">
      <c r="A11" s="170">
        <v>2020</v>
      </c>
      <c r="B11" s="168">
        <v>1496</v>
      </c>
      <c r="C11" s="168">
        <v>102</v>
      </c>
      <c r="D11" s="168">
        <v>190</v>
      </c>
      <c r="E11" s="168">
        <v>4390</v>
      </c>
      <c r="F11" s="189">
        <f t="shared" si="0"/>
        <v>6178</v>
      </c>
    </row>
  </sheetData>
  <mergeCells count="1">
    <mergeCell ref="A5:A6"/>
  </mergeCells>
  <hyperlinks>
    <hyperlink ref="A1" location="'فهرس - Index'!A1" tooltip="#'فهرس - Index'!A1 - Click once to follow. Click and hold to select this cell." display="عودة للفهرس-return to Index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4"/>
  <sheetViews>
    <sheetView rightToLeft="1" workbookViewId="0">
      <selection activeCell="I20" sqref="I20"/>
    </sheetView>
  </sheetViews>
  <sheetFormatPr defaultColWidth="8.85546875" defaultRowHeight="16.5"/>
  <cols>
    <col min="1" max="4" width="15.28515625" style="3" customWidth="1"/>
    <col min="5" max="5" width="18.140625" style="3" customWidth="1"/>
    <col min="6" max="7" width="15.28515625" style="3" customWidth="1"/>
    <col min="8" max="8" width="8.85546875" style="3" customWidth="1"/>
    <col min="9" max="16384" width="8.85546875" style="3"/>
  </cols>
  <sheetData>
    <row r="1" spans="1:12">
      <c r="A1" s="163" t="s">
        <v>23</v>
      </c>
    </row>
    <row r="2" spans="1:12" s="2" customFormat="1" ht="18">
      <c r="A2" s="2" t="s">
        <v>419</v>
      </c>
    </row>
    <row r="3" spans="1:12" s="2" customFormat="1" ht="18">
      <c r="G3" s="2" t="s">
        <v>420</v>
      </c>
    </row>
    <row r="4" spans="1:12" s="2" customFormat="1" ht="18">
      <c r="A4" s="2" t="s">
        <v>218</v>
      </c>
      <c r="G4" s="2" t="s">
        <v>219</v>
      </c>
    </row>
    <row r="5" spans="1:12" s="2" customFormat="1" ht="18">
      <c r="A5" s="373" t="s">
        <v>83</v>
      </c>
      <c r="B5" s="43" t="s">
        <v>216</v>
      </c>
      <c r="C5" s="24" t="s">
        <v>187</v>
      </c>
      <c r="D5" s="24" t="s">
        <v>429</v>
      </c>
      <c r="E5" s="24" t="s">
        <v>211</v>
      </c>
      <c r="F5" s="24" t="s">
        <v>85</v>
      </c>
      <c r="G5" s="374" t="s">
        <v>84</v>
      </c>
    </row>
    <row r="6" spans="1:12" s="2" customFormat="1" ht="18">
      <c r="A6" s="346"/>
      <c r="B6" s="44" t="s">
        <v>190</v>
      </c>
      <c r="C6" s="25" t="s">
        <v>191</v>
      </c>
      <c r="D6" s="25" t="s">
        <v>217</v>
      </c>
      <c r="E6" s="25" t="s">
        <v>180</v>
      </c>
      <c r="F6" s="25" t="s">
        <v>80</v>
      </c>
      <c r="G6" s="358"/>
    </row>
    <row r="7" spans="1:12" s="2" customFormat="1" ht="18">
      <c r="A7" s="26" t="s">
        <v>85</v>
      </c>
      <c r="B7" s="164">
        <f>SUM(B8:B34)</f>
        <v>2955</v>
      </c>
      <c r="C7" s="164">
        <f>SUM(C8:C34)</f>
        <v>223</v>
      </c>
      <c r="D7" s="164">
        <f>SUM(D8:D34)</f>
        <v>897</v>
      </c>
      <c r="E7" s="164">
        <f>SUM(E8:E34)</f>
        <v>1185</v>
      </c>
      <c r="F7" s="165">
        <f>SUM(F8:F34)</f>
        <v>5260</v>
      </c>
      <c r="G7" s="26" t="s">
        <v>80</v>
      </c>
      <c r="L7" s="53"/>
    </row>
    <row r="8" spans="1:12" ht="18">
      <c r="A8" s="28" t="s">
        <v>86</v>
      </c>
      <c r="B8" s="166">
        <v>516</v>
      </c>
      <c r="C8" s="166">
        <v>2</v>
      </c>
      <c r="D8" s="166">
        <v>130</v>
      </c>
      <c r="E8" s="166">
        <v>118</v>
      </c>
      <c r="F8" s="38">
        <f>SUM(B8:E8)</f>
        <v>766</v>
      </c>
      <c r="G8" s="28" t="s">
        <v>87</v>
      </c>
    </row>
    <row r="9" spans="1:12" ht="18">
      <c r="A9" s="31" t="s">
        <v>88</v>
      </c>
      <c r="B9" s="166">
        <v>260</v>
      </c>
      <c r="C9" s="166">
        <v>19</v>
      </c>
      <c r="D9" s="166">
        <v>47</v>
      </c>
      <c r="E9" s="166">
        <v>56</v>
      </c>
      <c r="F9" s="38">
        <f t="shared" ref="F9:F34" si="0">SUM(B9:E9)</f>
        <v>382</v>
      </c>
      <c r="G9" s="31" t="s">
        <v>89</v>
      </c>
    </row>
    <row r="10" spans="1:12" ht="18">
      <c r="A10" s="31" t="s">
        <v>90</v>
      </c>
      <c r="B10" s="166">
        <v>14</v>
      </c>
      <c r="C10" s="166">
        <v>0</v>
      </c>
      <c r="D10" s="166">
        <v>8</v>
      </c>
      <c r="E10" s="166">
        <v>6</v>
      </c>
      <c r="F10" s="38">
        <f t="shared" si="0"/>
        <v>28</v>
      </c>
      <c r="G10" s="31" t="s">
        <v>91</v>
      </c>
    </row>
    <row r="11" spans="1:12" ht="18">
      <c r="A11" s="31" t="s">
        <v>92</v>
      </c>
      <c r="B11" s="166">
        <v>4</v>
      </c>
      <c r="C11" s="166">
        <v>0</v>
      </c>
      <c r="D11" s="166">
        <v>1</v>
      </c>
      <c r="E11" s="166">
        <v>1</v>
      </c>
      <c r="F11" s="38">
        <f t="shared" si="0"/>
        <v>6</v>
      </c>
      <c r="G11" s="31" t="s">
        <v>93</v>
      </c>
    </row>
    <row r="12" spans="1:12" ht="18">
      <c r="A12" s="31" t="s">
        <v>94</v>
      </c>
      <c r="B12" s="166">
        <v>222</v>
      </c>
      <c r="C12" s="166">
        <v>6</v>
      </c>
      <c r="D12" s="166">
        <v>33</v>
      </c>
      <c r="E12" s="166">
        <v>25</v>
      </c>
      <c r="F12" s="38">
        <f t="shared" si="0"/>
        <v>286</v>
      </c>
      <c r="G12" s="31" t="s">
        <v>95</v>
      </c>
    </row>
    <row r="13" spans="1:12" ht="18">
      <c r="A13" s="31" t="s">
        <v>96</v>
      </c>
      <c r="B13" s="166">
        <v>46</v>
      </c>
      <c r="C13" s="166">
        <v>2</v>
      </c>
      <c r="D13" s="166">
        <v>63</v>
      </c>
      <c r="E13" s="166">
        <v>75</v>
      </c>
      <c r="F13" s="38">
        <f t="shared" si="0"/>
        <v>186</v>
      </c>
      <c r="G13" s="31" t="s">
        <v>97</v>
      </c>
    </row>
    <row r="14" spans="1:12" ht="18">
      <c r="A14" s="31" t="s">
        <v>98</v>
      </c>
      <c r="B14" s="166">
        <v>134</v>
      </c>
      <c r="C14" s="166">
        <v>10</v>
      </c>
      <c r="D14" s="166">
        <v>142</v>
      </c>
      <c r="E14" s="166">
        <v>64</v>
      </c>
      <c r="F14" s="38">
        <f t="shared" si="0"/>
        <v>350</v>
      </c>
      <c r="G14" s="31" t="s">
        <v>99</v>
      </c>
    </row>
    <row r="15" spans="1:12" ht="18">
      <c r="A15" s="31" t="s">
        <v>100</v>
      </c>
      <c r="B15" s="166">
        <v>60</v>
      </c>
      <c r="C15" s="166">
        <v>6</v>
      </c>
      <c r="D15" s="166">
        <v>44</v>
      </c>
      <c r="E15" s="166">
        <v>26</v>
      </c>
      <c r="F15" s="38">
        <f t="shared" si="0"/>
        <v>136</v>
      </c>
      <c r="G15" s="31" t="s">
        <v>101</v>
      </c>
    </row>
    <row r="16" spans="1:12" ht="18">
      <c r="A16" s="31" t="s">
        <v>102</v>
      </c>
      <c r="B16" s="166">
        <v>108</v>
      </c>
      <c r="C16" s="166">
        <v>27</v>
      </c>
      <c r="D16" s="166">
        <v>42</v>
      </c>
      <c r="E16" s="166">
        <v>41</v>
      </c>
      <c r="F16" s="38">
        <f t="shared" si="0"/>
        <v>218</v>
      </c>
      <c r="G16" s="31" t="s">
        <v>103</v>
      </c>
    </row>
    <row r="17" spans="1:7" ht="18">
      <c r="A17" s="31" t="s">
        <v>104</v>
      </c>
      <c r="B17" s="166">
        <v>10</v>
      </c>
      <c r="C17" s="166">
        <v>2</v>
      </c>
      <c r="D17" s="166">
        <v>14</v>
      </c>
      <c r="E17" s="166">
        <v>24</v>
      </c>
      <c r="F17" s="38">
        <f t="shared" si="0"/>
        <v>50</v>
      </c>
      <c r="G17" s="31" t="s">
        <v>105</v>
      </c>
    </row>
    <row r="18" spans="1:7" ht="18">
      <c r="A18" s="31" t="s">
        <v>106</v>
      </c>
      <c r="B18" s="166">
        <v>107</v>
      </c>
      <c r="C18" s="166">
        <v>25</v>
      </c>
      <c r="D18" s="166">
        <v>48</v>
      </c>
      <c r="E18" s="166">
        <v>65</v>
      </c>
      <c r="F18" s="38">
        <f t="shared" si="0"/>
        <v>245</v>
      </c>
      <c r="G18" s="31" t="s">
        <v>107</v>
      </c>
    </row>
    <row r="19" spans="1:7" ht="18">
      <c r="A19" s="31" t="s">
        <v>108</v>
      </c>
      <c r="B19" s="166">
        <v>102</v>
      </c>
      <c r="C19" s="166">
        <v>15</v>
      </c>
      <c r="D19" s="166">
        <v>56</v>
      </c>
      <c r="E19" s="166">
        <v>104</v>
      </c>
      <c r="F19" s="38">
        <f t="shared" si="0"/>
        <v>277</v>
      </c>
      <c r="G19" s="31" t="s">
        <v>109</v>
      </c>
    </row>
    <row r="20" spans="1:7" ht="18">
      <c r="A20" s="31" t="s">
        <v>110</v>
      </c>
      <c r="B20" s="166">
        <v>446</v>
      </c>
      <c r="C20" s="166">
        <v>9</v>
      </c>
      <c r="D20" s="166">
        <v>43</v>
      </c>
      <c r="E20" s="166">
        <v>106</v>
      </c>
      <c r="F20" s="38">
        <f t="shared" si="0"/>
        <v>604</v>
      </c>
      <c r="G20" s="31" t="s">
        <v>111</v>
      </c>
    </row>
    <row r="21" spans="1:7" ht="18">
      <c r="A21" s="31" t="s">
        <v>112</v>
      </c>
      <c r="B21" s="166">
        <v>169</v>
      </c>
      <c r="C21" s="166">
        <v>21</v>
      </c>
      <c r="D21" s="166">
        <v>35</v>
      </c>
      <c r="E21" s="166">
        <v>140</v>
      </c>
      <c r="F21" s="38">
        <f t="shared" si="0"/>
        <v>365</v>
      </c>
      <c r="G21" s="31" t="s">
        <v>113</v>
      </c>
    </row>
    <row r="22" spans="1:7" ht="18">
      <c r="A22" s="31" t="s">
        <v>114</v>
      </c>
      <c r="B22" s="166">
        <v>19</v>
      </c>
      <c r="C22" s="166">
        <v>13</v>
      </c>
      <c r="D22" s="166">
        <v>14</v>
      </c>
      <c r="E22" s="166">
        <v>14</v>
      </c>
      <c r="F22" s="38">
        <f t="shared" si="0"/>
        <v>60</v>
      </c>
      <c r="G22" s="31" t="s">
        <v>115</v>
      </c>
    </row>
    <row r="23" spans="1:7" ht="18">
      <c r="A23" s="31" t="s">
        <v>116</v>
      </c>
      <c r="B23" s="166">
        <v>57</v>
      </c>
      <c r="C23" s="166">
        <v>0</v>
      </c>
      <c r="D23" s="166">
        <v>25</v>
      </c>
      <c r="E23" s="166">
        <v>17</v>
      </c>
      <c r="F23" s="38">
        <f t="shared" si="0"/>
        <v>99</v>
      </c>
      <c r="G23" s="31" t="s">
        <v>117</v>
      </c>
    </row>
    <row r="24" spans="1:7" ht="18">
      <c r="A24" s="31" t="s">
        <v>118</v>
      </c>
      <c r="B24" s="166">
        <v>155</v>
      </c>
      <c r="C24" s="166">
        <v>19</v>
      </c>
      <c r="D24" s="166">
        <v>55</v>
      </c>
      <c r="E24" s="166">
        <v>59</v>
      </c>
      <c r="F24" s="38">
        <f t="shared" si="0"/>
        <v>288</v>
      </c>
      <c r="G24" s="31" t="s">
        <v>119</v>
      </c>
    </row>
    <row r="25" spans="1:7" ht="18">
      <c r="A25" s="31" t="s">
        <v>120</v>
      </c>
      <c r="B25" s="166">
        <v>54</v>
      </c>
      <c r="C25" s="166">
        <v>9</v>
      </c>
      <c r="D25" s="166">
        <v>7</v>
      </c>
      <c r="E25" s="166">
        <v>41</v>
      </c>
      <c r="F25" s="38">
        <f t="shared" si="0"/>
        <v>111</v>
      </c>
      <c r="G25" s="31" t="s">
        <v>121</v>
      </c>
    </row>
    <row r="26" spans="1:7" ht="18">
      <c r="A26" s="31" t="s">
        <v>122</v>
      </c>
      <c r="B26" s="166">
        <v>30</v>
      </c>
      <c r="C26" s="166">
        <v>15</v>
      </c>
      <c r="D26" s="166">
        <v>11</v>
      </c>
      <c r="E26" s="166">
        <v>54</v>
      </c>
      <c r="F26" s="38">
        <f t="shared" si="0"/>
        <v>110</v>
      </c>
      <c r="G26" s="31" t="s">
        <v>123</v>
      </c>
    </row>
    <row r="27" spans="1:7" ht="18">
      <c r="A27" s="31" t="s">
        <v>124</v>
      </c>
      <c r="B27" s="166">
        <v>11</v>
      </c>
      <c r="C27" s="166">
        <v>12</v>
      </c>
      <c r="D27" s="166">
        <v>21</v>
      </c>
      <c r="E27" s="166">
        <v>17</v>
      </c>
      <c r="F27" s="38">
        <f t="shared" si="0"/>
        <v>61</v>
      </c>
      <c r="G27" s="31" t="s">
        <v>125</v>
      </c>
    </row>
    <row r="28" spans="1:7" ht="18">
      <c r="A28" s="31" t="s">
        <v>126</v>
      </c>
      <c r="B28" s="166">
        <v>97</v>
      </c>
      <c r="C28" s="166">
        <v>9</v>
      </c>
      <c r="D28" s="166">
        <v>14</v>
      </c>
      <c r="E28" s="166">
        <v>57</v>
      </c>
      <c r="F28" s="38">
        <f t="shared" si="0"/>
        <v>177</v>
      </c>
      <c r="G28" s="31" t="s">
        <v>127</v>
      </c>
    </row>
    <row r="29" spans="1:7" ht="18">
      <c r="A29" s="31" t="s">
        <v>128</v>
      </c>
      <c r="B29" s="166">
        <v>8</v>
      </c>
      <c r="C29" s="166">
        <v>1</v>
      </c>
      <c r="D29" s="166">
        <v>7</v>
      </c>
      <c r="E29" s="166">
        <v>2</v>
      </c>
      <c r="F29" s="38">
        <f t="shared" si="0"/>
        <v>18</v>
      </c>
      <c r="G29" s="31" t="s">
        <v>129</v>
      </c>
    </row>
    <row r="30" spans="1:7" ht="18">
      <c r="A30" s="31" t="s">
        <v>134</v>
      </c>
      <c r="B30" s="166">
        <v>234</v>
      </c>
      <c r="C30" s="166">
        <v>1</v>
      </c>
      <c r="D30" s="166">
        <v>16</v>
      </c>
      <c r="E30" s="166">
        <v>24</v>
      </c>
      <c r="F30" s="38">
        <f t="shared" si="0"/>
        <v>275</v>
      </c>
      <c r="G30" s="31" t="s">
        <v>135</v>
      </c>
    </row>
    <row r="31" spans="1:7" ht="18">
      <c r="A31" s="31" t="s">
        <v>132</v>
      </c>
      <c r="B31" s="166">
        <v>14</v>
      </c>
      <c r="C31" s="166">
        <v>0</v>
      </c>
      <c r="D31" s="166">
        <v>13</v>
      </c>
      <c r="E31" s="166">
        <v>30</v>
      </c>
      <c r="F31" s="38">
        <f t="shared" si="0"/>
        <v>57</v>
      </c>
      <c r="G31" s="31" t="s">
        <v>133</v>
      </c>
    </row>
    <row r="32" spans="1:7" ht="18">
      <c r="A32" s="31" t="s">
        <v>130</v>
      </c>
      <c r="B32" s="166">
        <v>35</v>
      </c>
      <c r="C32" s="166">
        <v>0</v>
      </c>
      <c r="D32" s="166">
        <v>5</v>
      </c>
      <c r="E32" s="166">
        <v>7</v>
      </c>
      <c r="F32" s="38">
        <f t="shared" si="0"/>
        <v>47</v>
      </c>
      <c r="G32" s="31" t="s">
        <v>131</v>
      </c>
    </row>
    <row r="33" spans="1:7" ht="18">
      <c r="A33" s="31" t="s">
        <v>136</v>
      </c>
      <c r="B33" s="166">
        <v>7</v>
      </c>
      <c r="C33" s="166">
        <v>0</v>
      </c>
      <c r="D33" s="166">
        <v>0</v>
      </c>
      <c r="E33" s="166">
        <v>0</v>
      </c>
      <c r="F33" s="38">
        <f t="shared" si="0"/>
        <v>7</v>
      </c>
      <c r="G33" s="31" t="s">
        <v>137</v>
      </c>
    </row>
    <row r="34" spans="1:7" ht="18">
      <c r="A34" s="47" t="s">
        <v>138</v>
      </c>
      <c r="B34" s="167">
        <v>36</v>
      </c>
      <c r="C34" s="168">
        <v>0</v>
      </c>
      <c r="D34" s="168">
        <v>3</v>
      </c>
      <c r="E34" s="168">
        <v>12</v>
      </c>
      <c r="F34" s="40">
        <f t="shared" si="0"/>
        <v>51</v>
      </c>
      <c r="G34" s="47" t="s">
        <v>139</v>
      </c>
    </row>
  </sheetData>
  <mergeCells count="2">
    <mergeCell ref="A5:A6"/>
    <mergeCell ref="G5:G6"/>
  </mergeCells>
  <hyperlinks>
    <hyperlink ref="A1" location="'فهرس - Index'!A1" tooltip="#'فهرس - Index'!A1 - Click once to follow. Click and hold to select this cell." display="عودة للفهرس-return to Index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1"/>
  <sheetViews>
    <sheetView rightToLeft="1" workbookViewId="0">
      <selection activeCell="B18" sqref="B18"/>
    </sheetView>
  </sheetViews>
  <sheetFormatPr defaultColWidth="8.85546875" defaultRowHeight="16.5"/>
  <cols>
    <col min="1" max="1" width="33.85546875" style="3" customWidth="1"/>
    <col min="2" max="2" width="16.5703125" style="3" customWidth="1"/>
    <col min="3" max="3" width="15.85546875" style="3" customWidth="1"/>
    <col min="4" max="4" width="22.7109375" style="3" customWidth="1"/>
    <col min="5" max="5" width="35.7109375" style="3" customWidth="1"/>
    <col min="6" max="6" width="8.85546875" style="3" customWidth="1"/>
    <col min="7" max="16384" width="8.85546875" style="3"/>
  </cols>
  <sheetData>
    <row r="1" spans="1:5">
      <c r="A1" s="163" t="s">
        <v>23</v>
      </c>
    </row>
    <row r="2" spans="1:5" ht="18">
      <c r="A2" s="2" t="s">
        <v>421</v>
      </c>
      <c r="B2" s="2"/>
      <c r="C2" s="2"/>
      <c r="D2" s="2"/>
      <c r="E2" s="2"/>
    </row>
    <row r="3" spans="1:5" ht="18">
      <c r="B3" s="2"/>
      <c r="C3" s="2"/>
      <c r="D3" s="2"/>
      <c r="E3" s="2" t="s">
        <v>422</v>
      </c>
    </row>
    <row r="4" spans="1:5" ht="18">
      <c r="A4" s="2" t="s">
        <v>220</v>
      </c>
      <c r="B4" s="2"/>
      <c r="C4" s="2"/>
      <c r="D4" s="2"/>
      <c r="E4" s="2" t="s">
        <v>221</v>
      </c>
    </row>
    <row r="5" spans="1:5" ht="13.9" customHeight="1">
      <c r="A5" s="368" t="s">
        <v>222</v>
      </c>
      <c r="B5" s="369">
        <v>2024</v>
      </c>
      <c r="C5" s="369">
        <v>2023</v>
      </c>
      <c r="D5" s="24" t="s">
        <v>223</v>
      </c>
      <c r="E5" s="369" t="s">
        <v>224</v>
      </c>
    </row>
    <row r="6" spans="1:5" ht="22.5" customHeight="1">
      <c r="A6" s="347"/>
      <c r="B6" s="364"/>
      <c r="C6" s="364"/>
      <c r="D6" s="25" t="s">
        <v>225</v>
      </c>
      <c r="E6" s="364"/>
    </row>
    <row r="7" spans="1:5">
      <c r="A7" s="28" t="s">
        <v>45</v>
      </c>
      <c r="B7" s="37">
        <v>5260</v>
      </c>
      <c r="C7" s="37">
        <v>5861</v>
      </c>
      <c r="D7" s="171" t="s">
        <v>423</v>
      </c>
      <c r="E7" s="28" t="s">
        <v>50</v>
      </c>
    </row>
    <row r="8" spans="1:5">
      <c r="A8" s="31" t="s">
        <v>43</v>
      </c>
      <c r="B8" s="37">
        <v>76362</v>
      </c>
      <c r="C8" s="37">
        <v>71016</v>
      </c>
      <c r="D8" s="182" t="s">
        <v>424</v>
      </c>
      <c r="E8" s="31" t="s">
        <v>226</v>
      </c>
    </row>
    <row r="9" spans="1:5">
      <c r="A9" s="31" t="s">
        <v>749</v>
      </c>
      <c r="B9" s="122">
        <v>6.8882428432990235</v>
      </c>
      <c r="C9" s="37">
        <v>8.3000000000000007</v>
      </c>
      <c r="D9" s="180" t="s">
        <v>425</v>
      </c>
      <c r="E9" s="31" t="s">
        <v>227</v>
      </c>
    </row>
    <row r="10" spans="1:5">
      <c r="A10" s="31" t="s">
        <v>228</v>
      </c>
      <c r="B10" s="122">
        <v>4.9363634246101968</v>
      </c>
      <c r="C10" s="37">
        <v>5.6</v>
      </c>
      <c r="D10" s="180" t="s">
        <v>426</v>
      </c>
      <c r="E10" s="31" t="s">
        <v>229</v>
      </c>
    </row>
    <row r="11" spans="1:5">
      <c r="A11" s="47" t="s">
        <v>230</v>
      </c>
      <c r="B11" s="172">
        <v>71.663609093171829</v>
      </c>
      <c r="C11" s="42">
        <v>67.5</v>
      </c>
      <c r="D11" s="181">
        <v>6.2</v>
      </c>
      <c r="E11" s="47" t="s">
        <v>231</v>
      </c>
    </row>
  </sheetData>
  <mergeCells count="4">
    <mergeCell ref="A5:A6"/>
    <mergeCell ref="E5:E6"/>
    <mergeCell ref="B5:B6"/>
    <mergeCell ref="C5:C6"/>
  </mergeCells>
  <hyperlinks>
    <hyperlink ref="A1" location="'فهرس - Index'!A1" tooltip="#'فهرس - Index'!A1 - Click once to follow. Click and hold to select this cell." display="عودة للفهرس-return to Index" xr:uid="{00000000-0004-0000-1900-000000000000}"/>
  </hyperlinks>
  <pageMargins left="0.7" right="0.7" top="0.75" bottom="0.75" header="0.3" footer="0.3"/>
  <ignoredErrors>
    <ignoredError sqref="D7:D10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5"/>
  <sheetViews>
    <sheetView rightToLeft="1" zoomScaleNormal="100" workbookViewId="0">
      <selection activeCell="B4" sqref="B4:B5"/>
    </sheetView>
  </sheetViews>
  <sheetFormatPr defaultColWidth="8.85546875" defaultRowHeight="16.5"/>
  <cols>
    <col min="1" max="1" width="17.28515625" style="3" customWidth="1"/>
    <col min="2" max="2" width="20.42578125" style="3" customWidth="1"/>
    <col min="3" max="3" width="22" style="3" customWidth="1"/>
    <col min="4" max="4" width="13.85546875" style="3" customWidth="1"/>
    <col min="5" max="5" width="14.7109375" style="3" customWidth="1"/>
    <col min="6" max="6" width="16" style="3" customWidth="1"/>
    <col min="7" max="8" width="22.85546875" style="3" customWidth="1"/>
    <col min="9" max="9" width="18.5703125" style="3" customWidth="1"/>
    <col min="10" max="10" width="8.85546875" style="3" customWidth="1"/>
    <col min="11" max="16384" width="8.85546875" style="3"/>
  </cols>
  <sheetData>
    <row r="1" spans="1:9">
      <c r="A1" s="163" t="s">
        <v>23</v>
      </c>
    </row>
    <row r="2" spans="1:9" ht="18">
      <c r="A2" s="2" t="s">
        <v>427</v>
      </c>
      <c r="I2" s="2" t="s">
        <v>428</v>
      </c>
    </row>
    <row r="3" spans="1:9" s="2" customFormat="1" ht="18">
      <c r="A3" s="2" t="s">
        <v>232</v>
      </c>
      <c r="I3" s="2" t="s">
        <v>233</v>
      </c>
    </row>
    <row r="4" spans="1:9" s="2" customFormat="1" ht="18">
      <c r="A4" s="368" t="s">
        <v>234</v>
      </c>
      <c r="B4" s="369" t="s">
        <v>235</v>
      </c>
      <c r="C4" s="369" t="s">
        <v>236</v>
      </c>
      <c r="D4" s="374" t="s">
        <v>237</v>
      </c>
      <c r="E4" s="354"/>
      <c r="F4" s="355"/>
      <c r="G4" s="369" t="s">
        <v>238</v>
      </c>
      <c r="H4" s="369" t="s">
        <v>239</v>
      </c>
      <c r="I4" s="369" t="s">
        <v>84</v>
      </c>
    </row>
    <row r="5" spans="1:9" s="2" customFormat="1" ht="42.75" customHeight="1">
      <c r="A5" s="346"/>
      <c r="B5" s="358"/>
      <c r="C5" s="358"/>
      <c r="D5" s="375" t="s">
        <v>47</v>
      </c>
      <c r="E5" s="352"/>
      <c r="F5" s="347"/>
      <c r="G5" s="358"/>
      <c r="H5" s="358"/>
      <c r="I5" s="358"/>
    </row>
    <row r="6" spans="1:9" s="2" customFormat="1" ht="18">
      <c r="A6" s="346"/>
      <c r="B6" s="367" t="s">
        <v>240</v>
      </c>
      <c r="C6" s="375" t="s">
        <v>241</v>
      </c>
      <c r="D6" s="24" t="s">
        <v>143</v>
      </c>
      <c r="E6" s="24" t="s">
        <v>144</v>
      </c>
      <c r="F6" s="24" t="s">
        <v>242</v>
      </c>
      <c r="G6" s="375" t="s">
        <v>243</v>
      </c>
      <c r="H6" s="375" t="s">
        <v>244</v>
      </c>
      <c r="I6" s="358"/>
    </row>
    <row r="7" spans="1:9" s="2" customFormat="1" ht="25.5" customHeight="1">
      <c r="A7" s="347"/>
      <c r="B7" s="347"/>
      <c r="C7" s="364"/>
      <c r="D7" s="25" t="s">
        <v>153</v>
      </c>
      <c r="E7" s="25" t="s">
        <v>154</v>
      </c>
      <c r="F7" s="25" t="s">
        <v>80</v>
      </c>
      <c r="G7" s="364"/>
      <c r="H7" s="364"/>
      <c r="I7" s="364"/>
    </row>
    <row r="8" spans="1:9" s="2" customFormat="1" ht="18">
      <c r="A8" s="45" t="s">
        <v>85</v>
      </c>
      <c r="B8" s="34">
        <f>SUM(B9:B35)</f>
        <v>1767</v>
      </c>
      <c r="C8" s="34">
        <f>SUM(C9:C35)</f>
        <v>3263</v>
      </c>
      <c r="D8" s="164">
        <f>SUM(D9:D35)</f>
        <v>54759749</v>
      </c>
      <c r="E8" s="164">
        <f>SUM(E9:E35)</f>
        <v>51796425</v>
      </c>
      <c r="F8" s="165">
        <f>SUM(F9:F35)</f>
        <v>106556174</v>
      </c>
      <c r="G8" s="173">
        <f>B8/F8*100000</f>
        <v>1.6582802607008016</v>
      </c>
      <c r="H8" s="173">
        <f>C8/F8*25000</f>
        <v>0.76555864327486078</v>
      </c>
      <c r="I8" s="45" t="s">
        <v>80</v>
      </c>
    </row>
    <row r="9" spans="1:9" ht="18">
      <c r="A9" s="28" t="s">
        <v>245</v>
      </c>
      <c r="B9" s="174">
        <v>160</v>
      </c>
      <c r="C9" s="174">
        <v>311</v>
      </c>
      <c r="D9" s="175">
        <v>5325503</v>
      </c>
      <c r="E9" s="174">
        <v>5013005</v>
      </c>
      <c r="F9" s="190">
        <f>E9+D9</f>
        <v>10338508</v>
      </c>
      <c r="G9" s="176">
        <f>B9/F9*100000</f>
        <v>1.5476120925766077</v>
      </c>
      <c r="H9" s="176">
        <f>C9/F9*25000</f>
        <v>0.75204275123644537</v>
      </c>
      <c r="I9" s="28" t="s">
        <v>87</v>
      </c>
    </row>
    <row r="10" spans="1:9" ht="18">
      <c r="A10" s="31" t="s">
        <v>246</v>
      </c>
      <c r="B10" s="174">
        <v>60</v>
      </c>
      <c r="C10" s="174">
        <v>126</v>
      </c>
      <c r="D10" s="175">
        <v>2857790</v>
      </c>
      <c r="E10" s="174">
        <v>2735779</v>
      </c>
      <c r="F10" s="190">
        <f t="shared" ref="F10:F35" si="0">E10+D10</f>
        <v>5593569</v>
      </c>
      <c r="G10" s="176">
        <f t="shared" ref="G10:G35" si="1">B10/F10*100000</f>
        <v>1.072660406978085</v>
      </c>
      <c r="H10" s="176">
        <f t="shared" ref="H10:H35" si="2">C10/F10*25000</f>
        <v>0.56314671366349467</v>
      </c>
      <c r="I10" s="31" t="s">
        <v>89</v>
      </c>
    </row>
    <row r="11" spans="1:9" ht="18">
      <c r="A11" s="31" t="s">
        <v>90</v>
      </c>
      <c r="B11" s="174">
        <v>22</v>
      </c>
      <c r="C11" s="174">
        <v>52</v>
      </c>
      <c r="D11" s="175">
        <v>408006</v>
      </c>
      <c r="E11" s="174">
        <v>387906</v>
      </c>
      <c r="F11" s="190">
        <f t="shared" si="0"/>
        <v>795912</v>
      </c>
      <c r="G11" s="176">
        <f t="shared" si="1"/>
        <v>2.7641246770999808</v>
      </c>
      <c r="H11" s="176">
        <f t="shared" si="2"/>
        <v>1.6333464001045341</v>
      </c>
      <c r="I11" s="31" t="s">
        <v>247</v>
      </c>
    </row>
    <row r="12" spans="1:9" ht="18">
      <c r="A12" s="31" t="s">
        <v>92</v>
      </c>
      <c r="B12" s="174">
        <v>41</v>
      </c>
      <c r="C12" s="174">
        <v>84</v>
      </c>
      <c r="D12" s="175">
        <v>409315</v>
      </c>
      <c r="E12" s="174">
        <v>391376</v>
      </c>
      <c r="F12" s="190">
        <f t="shared" si="0"/>
        <v>800691</v>
      </c>
      <c r="G12" s="176">
        <f t="shared" si="1"/>
        <v>5.1205771015285544</v>
      </c>
      <c r="H12" s="176">
        <f t="shared" si="2"/>
        <v>2.6227346129780402</v>
      </c>
      <c r="I12" s="31" t="s">
        <v>93</v>
      </c>
    </row>
    <row r="13" spans="1:9" ht="18">
      <c r="A13" s="31" t="s">
        <v>96</v>
      </c>
      <c r="B13" s="174">
        <v>41</v>
      </c>
      <c r="C13" s="174">
        <v>94</v>
      </c>
      <c r="D13" s="175">
        <v>836224</v>
      </c>
      <c r="E13" s="174">
        <v>796244</v>
      </c>
      <c r="F13" s="190">
        <f t="shared" si="0"/>
        <v>1632468</v>
      </c>
      <c r="G13" s="176">
        <f t="shared" si="1"/>
        <v>2.5115346824562566</v>
      </c>
      <c r="H13" s="176">
        <f t="shared" si="2"/>
        <v>1.4395381716517568</v>
      </c>
      <c r="I13" s="31" t="s">
        <v>97</v>
      </c>
    </row>
    <row r="14" spans="1:9" ht="18">
      <c r="A14" s="31" t="s">
        <v>248</v>
      </c>
      <c r="B14" s="174">
        <v>88</v>
      </c>
      <c r="C14" s="174">
        <v>130</v>
      </c>
      <c r="D14" s="175">
        <v>3615666</v>
      </c>
      <c r="E14" s="174">
        <v>3502289</v>
      </c>
      <c r="F14" s="190">
        <f t="shared" si="0"/>
        <v>7117955</v>
      </c>
      <c r="G14" s="176">
        <f t="shared" si="1"/>
        <v>1.2363101480692138</v>
      </c>
      <c r="H14" s="176">
        <f t="shared" si="2"/>
        <v>0.45659181604828913</v>
      </c>
      <c r="I14" s="31" t="s">
        <v>99</v>
      </c>
    </row>
    <row r="15" spans="1:9" ht="18">
      <c r="A15" s="31" t="s">
        <v>249</v>
      </c>
      <c r="B15" s="174">
        <v>102</v>
      </c>
      <c r="C15" s="174">
        <v>181</v>
      </c>
      <c r="D15" s="175">
        <v>4113432</v>
      </c>
      <c r="E15" s="174">
        <v>3894502</v>
      </c>
      <c r="F15" s="190">
        <f t="shared" si="0"/>
        <v>8007934</v>
      </c>
      <c r="G15" s="176">
        <f t="shared" si="1"/>
        <v>1.2737367715568084</v>
      </c>
      <c r="H15" s="176">
        <f t="shared" si="2"/>
        <v>0.56506459718574109</v>
      </c>
      <c r="I15" s="31" t="s">
        <v>101</v>
      </c>
    </row>
    <row r="16" spans="1:9" ht="18">
      <c r="A16" s="31" t="s">
        <v>250</v>
      </c>
      <c r="B16" s="174">
        <v>70</v>
      </c>
      <c r="C16" s="174">
        <v>112</v>
      </c>
      <c r="D16" s="175">
        <v>3194832</v>
      </c>
      <c r="E16" s="174">
        <v>3011476</v>
      </c>
      <c r="F16" s="190">
        <f t="shared" si="0"/>
        <v>6206308</v>
      </c>
      <c r="G16" s="176">
        <f t="shared" si="1"/>
        <v>1.1278847263139373</v>
      </c>
      <c r="H16" s="176">
        <f t="shared" si="2"/>
        <v>0.45115389052557497</v>
      </c>
      <c r="I16" s="31" t="s">
        <v>103</v>
      </c>
    </row>
    <row r="17" spans="1:9" ht="18">
      <c r="A17" s="31" t="s">
        <v>251</v>
      </c>
      <c r="B17" s="174">
        <v>51</v>
      </c>
      <c r="C17" s="174">
        <v>91</v>
      </c>
      <c r="D17" s="175">
        <v>1924714</v>
      </c>
      <c r="E17" s="174">
        <v>1836804</v>
      </c>
      <c r="F17" s="190">
        <f t="shared" si="0"/>
        <v>3761518</v>
      </c>
      <c r="G17" s="176">
        <f t="shared" si="1"/>
        <v>1.3558355961609116</v>
      </c>
      <c r="H17" s="176">
        <f t="shared" si="2"/>
        <v>0.6048090159345243</v>
      </c>
      <c r="I17" s="31" t="s">
        <v>105</v>
      </c>
    </row>
    <row r="18" spans="1:9" ht="18">
      <c r="A18" s="31" t="s">
        <v>252</v>
      </c>
      <c r="B18" s="174">
        <v>66</v>
      </c>
      <c r="C18" s="174">
        <v>124</v>
      </c>
      <c r="D18" s="175">
        <v>2802840</v>
      </c>
      <c r="E18" s="174">
        <v>2690072</v>
      </c>
      <c r="F18" s="190">
        <f t="shared" si="0"/>
        <v>5492912</v>
      </c>
      <c r="G18" s="176">
        <f t="shared" si="1"/>
        <v>1.201548468280577</v>
      </c>
      <c r="H18" s="176">
        <f t="shared" si="2"/>
        <v>0.56436367449542246</v>
      </c>
      <c r="I18" s="31" t="s">
        <v>107</v>
      </c>
    </row>
    <row r="19" spans="1:9" ht="18">
      <c r="A19" s="31" t="s">
        <v>253</v>
      </c>
      <c r="B19" s="174">
        <v>66</v>
      </c>
      <c r="C19" s="174">
        <v>110</v>
      </c>
      <c r="D19" s="175">
        <v>2464765</v>
      </c>
      <c r="E19" s="174">
        <v>2328875</v>
      </c>
      <c r="F19" s="190">
        <f t="shared" si="0"/>
        <v>4793640</v>
      </c>
      <c r="G19" s="176">
        <f t="shared" si="1"/>
        <v>1.3768242921871479</v>
      </c>
      <c r="H19" s="176">
        <f t="shared" si="2"/>
        <v>0.57367678841131164</v>
      </c>
      <c r="I19" s="31" t="s">
        <v>109</v>
      </c>
    </row>
    <row r="20" spans="1:9" ht="18">
      <c r="A20" s="31" t="s">
        <v>254</v>
      </c>
      <c r="B20" s="174">
        <v>92</v>
      </c>
      <c r="C20" s="174">
        <v>140</v>
      </c>
      <c r="D20" s="175">
        <v>3588667</v>
      </c>
      <c r="E20" s="174">
        <v>3382199</v>
      </c>
      <c r="F20" s="190">
        <f t="shared" si="0"/>
        <v>6970866</v>
      </c>
      <c r="G20" s="176">
        <f t="shared" si="1"/>
        <v>1.3197786329560774</v>
      </c>
      <c r="H20" s="176">
        <f t="shared" si="2"/>
        <v>0.50208969732024689</v>
      </c>
      <c r="I20" s="31" t="s">
        <v>111</v>
      </c>
    </row>
    <row r="21" spans="1:9" ht="18">
      <c r="A21" s="31" t="s">
        <v>255</v>
      </c>
      <c r="B21" s="174">
        <v>56</v>
      </c>
      <c r="C21" s="174">
        <v>114</v>
      </c>
      <c r="D21" s="175">
        <v>757107</v>
      </c>
      <c r="E21" s="174">
        <v>715800</v>
      </c>
      <c r="F21" s="190">
        <f t="shared" si="0"/>
        <v>1472907</v>
      </c>
      <c r="G21" s="176">
        <f t="shared" si="1"/>
        <v>3.8020051503591197</v>
      </c>
      <c r="H21" s="176">
        <f t="shared" si="2"/>
        <v>1.9349490497363377</v>
      </c>
      <c r="I21" s="31" t="s">
        <v>95</v>
      </c>
    </row>
    <row r="22" spans="1:9" ht="18">
      <c r="A22" s="31" t="s">
        <v>256</v>
      </c>
      <c r="B22" s="174">
        <v>111</v>
      </c>
      <c r="C22" s="174">
        <v>216</v>
      </c>
      <c r="D22" s="175">
        <v>4978659</v>
      </c>
      <c r="E22" s="174">
        <v>4655904</v>
      </c>
      <c r="F22" s="190">
        <f t="shared" si="0"/>
        <v>9634563</v>
      </c>
      <c r="G22" s="176">
        <f t="shared" si="1"/>
        <v>1.152102072507077</v>
      </c>
      <c r="H22" s="176">
        <f t="shared" si="2"/>
        <v>0.56048208932776711</v>
      </c>
      <c r="I22" s="31" t="s">
        <v>113</v>
      </c>
    </row>
    <row r="23" spans="1:9" ht="18">
      <c r="A23" s="31" t="s">
        <v>114</v>
      </c>
      <c r="B23" s="174">
        <v>54</v>
      </c>
      <c r="C23" s="174">
        <v>96</v>
      </c>
      <c r="D23" s="175">
        <v>1880023</v>
      </c>
      <c r="E23" s="174">
        <v>1773006</v>
      </c>
      <c r="F23" s="190">
        <f t="shared" si="0"/>
        <v>3653029</v>
      </c>
      <c r="G23" s="176">
        <f t="shared" si="1"/>
        <v>1.4782253302670196</v>
      </c>
      <c r="H23" s="176">
        <f t="shared" si="2"/>
        <v>0.65698903567423084</v>
      </c>
      <c r="I23" s="31" t="s">
        <v>115</v>
      </c>
    </row>
    <row r="24" spans="1:9" ht="18">
      <c r="A24" s="31" t="s">
        <v>116</v>
      </c>
      <c r="B24" s="174">
        <v>60</v>
      </c>
      <c r="C24" s="174">
        <v>86</v>
      </c>
      <c r="D24" s="175">
        <v>2155393</v>
      </c>
      <c r="E24" s="174">
        <v>1991967</v>
      </c>
      <c r="F24" s="190">
        <f t="shared" si="0"/>
        <v>4147360</v>
      </c>
      <c r="G24" s="176">
        <f t="shared" si="1"/>
        <v>1.4467034450831373</v>
      </c>
      <c r="H24" s="176">
        <f t="shared" si="2"/>
        <v>0.51840206782145748</v>
      </c>
      <c r="I24" s="31" t="s">
        <v>117</v>
      </c>
    </row>
    <row r="25" spans="1:9" ht="18">
      <c r="A25" s="31" t="s">
        <v>118</v>
      </c>
      <c r="B25" s="174">
        <v>61</v>
      </c>
      <c r="C25" s="174">
        <v>115</v>
      </c>
      <c r="D25" s="175">
        <v>3321272</v>
      </c>
      <c r="E25" s="174">
        <v>3131535</v>
      </c>
      <c r="F25" s="190">
        <f t="shared" si="0"/>
        <v>6452807</v>
      </c>
      <c r="G25" s="176">
        <f t="shared" si="1"/>
        <v>0.9453250345159866</v>
      </c>
      <c r="H25" s="176">
        <f t="shared" si="2"/>
        <v>0.44554253675958383</v>
      </c>
      <c r="I25" s="31" t="s">
        <v>119</v>
      </c>
    </row>
    <row r="26" spans="1:9" ht="18">
      <c r="A26" s="31" t="s">
        <v>257</v>
      </c>
      <c r="B26" s="174">
        <v>68</v>
      </c>
      <c r="C26" s="174">
        <v>128</v>
      </c>
      <c r="D26" s="175">
        <v>2660363</v>
      </c>
      <c r="E26" s="174">
        <v>2497652</v>
      </c>
      <c r="F26" s="190">
        <f t="shared" si="0"/>
        <v>5158015</v>
      </c>
      <c r="G26" s="176">
        <f t="shared" si="1"/>
        <v>1.3183366081719421</v>
      </c>
      <c r="H26" s="176">
        <f t="shared" si="2"/>
        <v>0.62039369796326693</v>
      </c>
      <c r="I26" s="31" t="s">
        <v>121</v>
      </c>
    </row>
    <row r="27" spans="1:9" ht="18">
      <c r="A27" s="31" t="s">
        <v>122</v>
      </c>
      <c r="B27" s="174">
        <v>62</v>
      </c>
      <c r="C27" s="174">
        <v>117</v>
      </c>
      <c r="D27" s="175">
        <v>3013121</v>
      </c>
      <c r="E27" s="174">
        <v>2821193</v>
      </c>
      <c r="F27" s="190">
        <f t="shared" si="0"/>
        <v>5834314</v>
      </c>
      <c r="G27" s="176">
        <f t="shared" si="1"/>
        <v>1.0626784914216136</v>
      </c>
      <c r="H27" s="176">
        <f t="shared" si="2"/>
        <v>0.50134428829164834</v>
      </c>
      <c r="I27" s="31" t="s">
        <v>123</v>
      </c>
    </row>
    <row r="28" spans="1:9" ht="18">
      <c r="A28" s="31" t="s">
        <v>124</v>
      </c>
      <c r="B28" s="174">
        <v>66</v>
      </c>
      <c r="C28" s="174">
        <v>104</v>
      </c>
      <c r="D28" s="175">
        <v>1899284</v>
      </c>
      <c r="E28" s="174">
        <v>1805199</v>
      </c>
      <c r="F28" s="190">
        <f t="shared" si="0"/>
        <v>3704483</v>
      </c>
      <c r="G28" s="176">
        <f t="shared" si="1"/>
        <v>1.7816251282567632</v>
      </c>
      <c r="H28" s="176">
        <f t="shared" si="2"/>
        <v>0.70185232325266433</v>
      </c>
      <c r="I28" s="31" t="s">
        <v>125</v>
      </c>
    </row>
    <row r="29" spans="1:9" ht="18">
      <c r="A29" s="31" t="s">
        <v>258</v>
      </c>
      <c r="B29" s="174">
        <v>56</v>
      </c>
      <c r="C29" s="174">
        <v>124</v>
      </c>
      <c r="D29" s="175">
        <v>852758</v>
      </c>
      <c r="E29" s="174">
        <v>828372</v>
      </c>
      <c r="F29" s="190">
        <f t="shared" si="0"/>
        <v>1681130</v>
      </c>
      <c r="G29" s="176">
        <f t="shared" si="1"/>
        <v>3.3310927768822158</v>
      </c>
      <c r="H29" s="176">
        <f t="shared" si="2"/>
        <v>1.8439977872026556</v>
      </c>
      <c r="I29" s="31" t="s">
        <v>127</v>
      </c>
    </row>
    <row r="30" spans="1:9" ht="18">
      <c r="A30" s="31" t="s">
        <v>128</v>
      </c>
      <c r="B30" s="174">
        <v>43</v>
      </c>
      <c r="C30" s="174">
        <v>86</v>
      </c>
      <c r="D30" s="175">
        <v>732395</v>
      </c>
      <c r="E30" s="174">
        <v>690884</v>
      </c>
      <c r="F30" s="190">
        <f t="shared" si="0"/>
        <v>1423279</v>
      </c>
      <c r="G30" s="176">
        <f t="shared" si="1"/>
        <v>3.0211926122706791</v>
      </c>
      <c r="H30" s="176">
        <f t="shared" si="2"/>
        <v>1.5105963061353396</v>
      </c>
      <c r="I30" s="31" t="s">
        <v>129</v>
      </c>
    </row>
    <row r="31" spans="1:9" ht="18">
      <c r="A31" s="31" t="s">
        <v>130</v>
      </c>
      <c r="B31" s="174">
        <v>52</v>
      </c>
      <c r="C31" s="174">
        <v>108</v>
      </c>
      <c r="D31" s="175">
        <v>211970</v>
      </c>
      <c r="E31" s="174">
        <v>197998</v>
      </c>
      <c r="F31" s="190">
        <f t="shared" si="0"/>
        <v>409968</v>
      </c>
      <c r="G31" s="176">
        <f t="shared" si="1"/>
        <v>12.683916793505833</v>
      </c>
      <c r="H31" s="176">
        <f t="shared" si="2"/>
        <v>6.5858798735511064</v>
      </c>
      <c r="I31" s="31" t="s">
        <v>131</v>
      </c>
    </row>
    <row r="32" spans="1:9" ht="18">
      <c r="A32" s="31" t="s">
        <v>132</v>
      </c>
      <c r="B32" s="174">
        <v>57</v>
      </c>
      <c r="C32" s="174">
        <v>91</v>
      </c>
      <c r="D32" s="175">
        <v>138643</v>
      </c>
      <c r="E32" s="174">
        <v>132192</v>
      </c>
      <c r="F32" s="190">
        <f t="shared" si="0"/>
        <v>270835</v>
      </c>
      <c r="G32" s="176">
        <f t="shared" si="1"/>
        <v>21.046024332157955</v>
      </c>
      <c r="H32" s="176">
        <f t="shared" si="2"/>
        <v>8.399948308010412</v>
      </c>
      <c r="I32" s="31" t="s">
        <v>133</v>
      </c>
    </row>
    <row r="33" spans="1:9" ht="18">
      <c r="A33" s="31" t="s">
        <v>134</v>
      </c>
      <c r="B33" s="174">
        <v>65</v>
      </c>
      <c r="C33" s="174">
        <v>128</v>
      </c>
      <c r="D33" s="175">
        <v>293734</v>
      </c>
      <c r="E33" s="174">
        <v>272546</v>
      </c>
      <c r="F33" s="190">
        <f t="shared" si="0"/>
        <v>566280</v>
      </c>
      <c r="G33" s="176">
        <f t="shared" si="1"/>
        <v>11.478420569329661</v>
      </c>
      <c r="H33" s="176">
        <f t="shared" si="2"/>
        <v>5.6509147418238328</v>
      </c>
      <c r="I33" s="31" t="s">
        <v>135</v>
      </c>
    </row>
    <row r="34" spans="1:9" ht="18">
      <c r="A34" s="31" t="s">
        <v>136</v>
      </c>
      <c r="B34" s="174">
        <v>51</v>
      </c>
      <c r="C34" s="174">
        <v>109</v>
      </c>
      <c r="D34" s="175">
        <v>262785</v>
      </c>
      <c r="E34" s="174">
        <v>253479</v>
      </c>
      <c r="F34" s="190">
        <f t="shared" si="0"/>
        <v>516264</v>
      </c>
      <c r="G34" s="176">
        <f t="shared" si="1"/>
        <v>9.8786667286504581</v>
      </c>
      <c r="H34" s="176">
        <f t="shared" si="2"/>
        <v>5.2783072226612742</v>
      </c>
      <c r="I34" s="31" t="s">
        <v>137</v>
      </c>
    </row>
    <row r="35" spans="1:9" ht="18">
      <c r="A35" s="47" t="s">
        <v>138</v>
      </c>
      <c r="B35" s="177">
        <v>46</v>
      </c>
      <c r="C35" s="177">
        <v>86</v>
      </c>
      <c r="D35" s="178">
        <v>60488</v>
      </c>
      <c r="E35" s="177">
        <v>58171</v>
      </c>
      <c r="F35" s="191">
        <f t="shared" si="0"/>
        <v>118659</v>
      </c>
      <c r="G35" s="179">
        <f t="shared" si="1"/>
        <v>38.766549524267013</v>
      </c>
      <c r="H35" s="179">
        <f t="shared" si="2"/>
        <v>18.119148147211757</v>
      </c>
      <c r="I35" s="47" t="s">
        <v>139</v>
      </c>
    </row>
  </sheetData>
  <mergeCells count="12">
    <mergeCell ref="A4:A7"/>
    <mergeCell ref="I4:I7"/>
    <mergeCell ref="B4:B5"/>
    <mergeCell ref="D5:F5"/>
    <mergeCell ref="C4:C5"/>
    <mergeCell ref="G4:G5"/>
    <mergeCell ref="D4:F4"/>
    <mergeCell ref="H4:H5"/>
    <mergeCell ref="H6:H7"/>
    <mergeCell ref="G6:G7"/>
    <mergeCell ref="C6:C7"/>
    <mergeCell ref="B6:B7"/>
  </mergeCells>
  <hyperlinks>
    <hyperlink ref="A1" location="'فهرس - Index'!A1" tooltip="#'فهرس - Index'!A1 - Click once to follow. Click and hold to select this cell." display="عودة للفهرس-return to Index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40"/>
  <sheetViews>
    <sheetView rightToLeft="1" workbookViewId="0">
      <selection activeCell="C2" sqref="C2"/>
    </sheetView>
  </sheetViews>
  <sheetFormatPr defaultColWidth="8.85546875" defaultRowHeight="16.5"/>
  <cols>
    <col min="1" max="1" width="6.7109375" style="3" customWidth="1"/>
    <col min="2" max="2" width="47.28515625" style="3" customWidth="1"/>
    <col min="3" max="3" width="33.140625" style="3" customWidth="1"/>
    <col min="4" max="4" width="214.28515625" style="3" bestFit="1" customWidth="1"/>
    <col min="5" max="5" width="8.85546875" style="3" customWidth="1"/>
    <col min="6" max="16384" width="8.85546875" style="3"/>
  </cols>
  <sheetData>
    <row r="1" spans="1:4">
      <c r="A1" s="163" t="s">
        <v>23</v>
      </c>
    </row>
    <row r="2" spans="1:4" s="2" customFormat="1" ht="18">
      <c r="A2" s="2" t="s">
        <v>458</v>
      </c>
      <c r="D2" s="2" t="s">
        <v>486</v>
      </c>
    </row>
    <row r="3" spans="1:4" s="2" customFormat="1" ht="18">
      <c r="A3" s="2" t="s">
        <v>259</v>
      </c>
      <c r="D3" s="2" t="s">
        <v>260</v>
      </c>
    </row>
    <row r="4" spans="1:4" s="2" customFormat="1" ht="18.75" thickBot="1">
      <c r="A4" s="339" t="s">
        <v>261</v>
      </c>
      <c r="B4" s="339" t="s">
        <v>262</v>
      </c>
      <c r="C4" s="339" t="s">
        <v>263</v>
      </c>
      <c r="D4" s="340" t="s">
        <v>264</v>
      </c>
    </row>
    <row r="5" spans="1:4">
      <c r="A5" s="390">
        <v>1</v>
      </c>
      <c r="B5" s="376" t="s">
        <v>265</v>
      </c>
      <c r="C5" s="246" t="s">
        <v>520</v>
      </c>
      <c r="D5" s="247" t="s">
        <v>716</v>
      </c>
    </row>
    <row r="6" spans="1:4" ht="17.25" thickBot="1">
      <c r="A6" s="391"/>
      <c r="B6" s="377"/>
      <c r="C6" s="248" t="s">
        <v>92</v>
      </c>
      <c r="D6" s="249" t="s">
        <v>519</v>
      </c>
    </row>
    <row r="7" spans="1:4">
      <c r="A7" s="387">
        <v>2</v>
      </c>
      <c r="B7" s="383" t="s">
        <v>266</v>
      </c>
      <c r="C7" s="246" t="s">
        <v>520</v>
      </c>
      <c r="D7" s="247" t="s">
        <v>521</v>
      </c>
    </row>
    <row r="8" spans="1:4">
      <c r="A8" s="388"/>
      <c r="B8" s="384"/>
      <c r="C8" s="157" t="s">
        <v>522</v>
      </c>
      <c r="D8" s="251" t="s">
        <v>523</v>
      </c>
    </row>
    <row r="9" spans="1:4">
      <c r="A9" s="388"/>
      <c r="B9" s="384"/>
      <c r="C9" s="157" t="s">
        <v>524</v>
      </c>
      <c r="D9" s="251" t="s">
        <v>525</v>
      </c>
    </row>
    <row r="10" spans="1:4" ht="33.75" thickBot="1">
      <c r="A10" s="389"/>
      <c r="B10" s="385"/>
      <c r="C10" s="248" t="s">
        <v>526</v>
      </c>
      <c r="D10" s="249" t="s">
        <v>527</v>
      </c>
    </row>
    <row r="11" spans="1:4">
      <c r="A11" s="388">
        <v>3</v>
      </c>
      <c r="B11" s="378" t="s">
        <v>528</v>
      </c>
      <c r="C11" s="157" t="s">
        <v>267</v>
      </c>
      <c r="D11" s="251" t="s">
        <v>529</v>
      </c>
    </row>
    <row r="12" spans="1:4">
      <c r="A12" s="388"/>
      <c r="B12" s="378"/>
      <c r="C12" s="157" t="s">
        <v>270</v>
      </c>
      <c r="D12" s="251" t="s">
        <v>530</v>
      </c>
    </row>
    <row r="13" spans="1:4">
      <c r="A13" s="388"/>
      <c r="B13" s="378"/>
      <c r="C13" s="157" t="s">
        <v>252</v>
      </c>
      <c r="D13" s="251" t="s">
        <v>531</v>
      </c>
    </row>
    <row r="14" spans="1:4" ht="45" customHeight="1">
      <c r="A14" s="388"/>
      <c r="B14" s="378"/>
      <c r="C14" s="157" t="s">
        <v>532</v>
      </c>
      <c r="D14" s="251" t="s">
        <v>533</v>
      </c>
    </row>
    <row r="15" spans="1:4" ht="17.25" thickBot="1">
      <c r="A15" s="389"/>
      <c r="B15" s="377"/>
      <c r="C15" s="248" t="s">
        <v>271</v>
      </c>
      <c r="D15" s="249" t="s">
        <v>534</v>
      </c>
    </row>
    <row r="16" spans="1:4">
      <c r="A16" s="387">
        <v>4</v>
      </c>
      <c r="B16" s="376" t="s">
        <v>535</v>
      </c>
      <c r="C16" s="246" t="s">
        <v>536</v>
      </c>
      <c r="D16" s="247" t="s">
        <v>537</v>
      </c>
    </row>
    <row r="17" spans="1:4">
      <c r="A17" s="388"/>
      <c r="B17" s="378"/>
      <c r="C17" s="157" t="s">
        <v>532</v>
      </c>
      <c r="D17" s="251" t="s">
        <v>538</v>
      </c>
    </row>
    <row r="18" spans="1:4" ht="17.25" thickBot="1">
      <c r="A18" s="389"/>
      <c r="B18" s="377"/>
      <c r="C18" s="248" t="s">
        <v>271</v>
      </c>
      <c r="D18" s="249" t="s">
        <v>539</v>
      </c>
    </row>
    <row r="19" spans="1:4">
      <c r="A19" s="387">
        <v>5</v>
      </c>
      <c r="B19" s="376" t="s">
        <v>540</v>
      </c>
      <c r="C19" s="246" t="s">
        <v>522</v>
      </c>
      <c r="D19" s="247" t="s">
        <v>541</v>
      </c>
    </row>
    <row r="20" spans="1:4" ht="17.25" thickBot="1">
      <c r="A20" s="388"/>
      <c r="B20" s="378"/>
      <c r="C20" s="157" t="s">
        <v>268</v>
      </c>
      <c r="D20" s="251" t="s">
        <v>542</v>
      </c>
    </row>
    <row r="21" spans="1:4">
      <c r="A21" s="387">
        <v>6</v>
      </c>
      <c r="B21" s="376" t="s">
        <v>275</v>
      </c>
      <c r="C21" s="246" t="s">
        <v>272</v>
      </c>
      <c r="D21" s="247" t="s">
        <v>543</v>
      </c>
    </row>
    <row r="22" spans="1:4" ht="17.25" thickBot="1">
      <c r="A22" s="389"/>
      <c r="B22" s="377"/>
      <c r="C22" s="248" t="s">
        <v>116</v>
      </c>
      <c r="D22" s="249" t="s">
        <v>544</v>
      </c>
    </row>
    <row r="23" spans="1:4" ht="54" customHeight="1">
      <c r="A23" s="382">
        <v>7</v>
      </c>
      <c r="B23" s="383" t="s">
        <v>545</v>
      </c>
      <c r="C23" s="246" t="s">
        <v>536</v>
      </c>
      <c r="D23" s="247" t="s">
        <v>546</v>
      </c>
    </row>
    <row r="24" spans="1:4">
      <c r="A24" s="380"/>
      <c r="B24" s="384"/>
      <c r="C24" s="157" t="s">
        <v>547</v>
      </c>
      <c r="D24" s="251" t="s">
        <v>548</v>
      </c>
    </row>
    <row r="25" spans="1:4">
      <c r="A25" s="380"/>
      <c r="B25" s="384"/>
      <c r="C25" s="157" t="s">
        <v>549</v>
      </c>
      <c r="D25" s="251" t="s">
        <v>550</v>
      </c>
    </row>
    <row r="26" spans="1:4">
      <c r="A26" s="380"/>
      <c r="B26" s="384"/>
      <c r="C26" s="157" t="s">
        <v>551</v>
      </c>
      <c r="D26" s="251" t="s">
        <v>552</v>
      </c>
    </row>
    <row r="27" spans="1:4">
      <c r="A27" s="380"/>
      <c r="B27" s="384"/>
      <c r="C27" s="157" t="s">
        <v>257</v>
      </c>
      <c r="D27" s="251" t="s">
        <v>553</v>
      </c>
    </row>
    <row r="28" spans="1:4">
      <c r="A28" s="380"/>
      <c r="B28" s="384"/>
      <c r="C28" s="157" t="s">
        <v>122</v>
      </c>
      <c r="D28" s="251" t="s">
        <v>554</v>
      </c>
    </row>
    <row r="29" spans="1:4">
      <c r="A29" s="380"/>
      <c r="B29" s="384"/>
      <c r="C29" s="157" t="s">
        <v>124</v>
      </c>
      <c r="D29" s="251" t="s">
        <v>555</v>
      </c>
    </row>
    <row r="30" spans="1:4" ht="17.25" thickBot="1">
      <c r="A30" s="381"/>
      <c r="B30" s="385"/>
      <c r="C30" s="248" t="s">
        <v>556</v>
      </c>
      <c r="D30" s="249" t="s">
        <v>557</v>
      </c>
    </row>
    <row r="31" spans="1:4">
      <c r="A31" s="379">
        <v>8</v>
      </c>
      <c r="B31" s="386" t="s">
        <v>558</v>
      </c>
      <c r="C31" s="157" t="s">
        <v>536</v>
      </c>
      <c r="D31" s="251" t="s">
        <v>717</v>
      </c>
    </row>
    <row r="32" spans="1:4">
      <c r="A32" s="380"/>
      <c r="B32" s="384"/>
      <c r="C32" s="157" t="s">
        <v>559</v>
      </c>
      <c r="D32" s="251" t="s">
        <v>560</v>
      </c>
    </row>
    <row r="33" spans="1:4">
      <c r="A33" s="380"/>
      <c r="B33" s="384"/>
      <c r="C33" s="157" t="s">
        <v>561</v>
      </c>
      <c r="D33" s="251" t="s">
        <v>562</v>
      </c>
    </row>
    <row r="34" spans="1:4">
      <c r="A34" s="380"/>
      <c r="B34" s="384"/>
      <c r="C34" s="157" t="s">
        <v>563</v>
      </c>
      <c r="D34" s="251" t="s">
        <v>564</v>
      </c>
    </row>
    <row r="35" spans="1:4">
      <c r="A35" s="380"/>
      <c r="B35" s="384"/>
      <c r="C35" s="157" t="s">
        <v>565</v>
      </c>
      <c r="D35" s="251" t="s">
        <v>566</v>
      </c>
    </row>
    <row r="36" spans="1:4" ht="17.25" thickBot="1">
      <c r="A36" s="381"/>
      <c r="B36" s="385"/>
      <c r="C36" s="248" t="s">
        <v>567</v>
      </c>
      <c r="D36" s="249" t="s">
        <v>568</v>
      </c>
    </row>
    <row r="37" spans="1:4">
      <c r="A37" s="387">
        <v>9</v>
      </c>
      <c r="B37" s="376" t="s">
        <v>569</v>
      </c>
      <c r="C37" s="246" t="s">
        <v>536</v>
      </c>
      <c r="D37" s="247" t="s">
        <v>570</v>
      </c>
    </row>
    <row r="38" spans="1:4" ht="13.9" customHeight="1">
      <c r="A38" s="388"/>
      <c r="B38" s="378"/>
      <c r="C38" s="378" t="s">
        <v>559</v>
      </c>
      <c r="D38" s="251" t="s">
        <v>571</v>
      </c>
    </row>
    <row r="39" spans="1:4" ht="13.9" customHeight="1">
      <c r="A39" s="388"/>
      <c r="B39" s="378"/>
      <c r="C39" s="378"/>
      <c r="D39" s="251" t="s">
        <v>572</v>
      </c>
    </row>
    <row r="40" spans="1:4">
      <c r="A40" s="388"/>
      <c r="B40" s="378"/>
      <c r="C40" s="157" t="s">
        <v>567</v>
      </c>
      <c r="D40" s="251" t="s">
        <v>573</v>
      </c>
    </row>
    <row r="41" spans="1:4" ht="17.25" thickBot="1">
      <c r="A41" s="389"/>
      <c r="B41" s="377"/>
      <c r="C41" s="248" t="s">
        <v>561</v>
      </c>
      <c r="D41" s="249" t="s">
        <v>574</v>
      </c>
    </row>
    <row r="42" spans="1:4" ht="33">
      <c r="A42" s="387">
        <v>10</v>
      </c>
      <c r="B42" s="376" t="s">
        <v>718</v>
      </c>
      <c r="C42" s="376" t="s">
        <v>520</v>
      </c>
      <c r="D42" s="252" t="s">
        <v>575</v>
      </c>
    </row>
    <row r="43" spans="1:4" ht="13.9" customHeight="1">
      <c r="A43" s="388"/>
      <c r="B43" s="378"/>
      <c r="C43" s="378"/>
      <c r="D43" s="253" t="s">
        <v>576</v>
      </c>
    </row>
    <row r="44" spans="1:4" ht="13.9" customHeight="1">
      <c r="A44" s="388"/>
      <c r="B44" s="378" t="s">
        <v>719</v>
      </c>
      <c r="C44" s="378"/>
      <c r="D44" s="253" t="s">
        <v>577</v>
      </c>
    </row>
    <row r="45" spans="1:4" ht="13.9" customHeight="1">
      <c r="A45" s="388"/>
      <c r="B45" s="378"/>
      <c r="C45" s="378"/>
      <c r="D45" s="253" t="s">
        <v>578</v>
      </c>
    </row>
    <row r="46" spans="1:4" ht="13.9" customHeight="1">
      <c r="A46" s="388"/>
      <c r="B46" s="378"/>
      <c r="C46" s="157" t="s">
        <v>579</v>
      </c>
      <c r="D46" s="253" t="s">
        <v>580</v>
      </c>
    </row>
    <row r="47" spans="1:4" ht="13.9" customHeight="1" thickBot="1">
      <c r="A47" s="389"/>
      <c r="B47" s="377"/>
      <c r="C47" s="248" t="s">
        <v>267</v>
      </c>
      <c r="D47" s="254" t="s">
        <v>581</v>
      </c>
    </row>
    <row r="48" spans="1:4">
      <c r="A48" s="387">
        <v>11</v>
      </c>
      <c r="B48" s="376" t="s">
        <v>582</v>
      </c>
      <c r="C48" s="246" t="s">
        <v>520</v>
      </c>
      <c r="D48" s="247" t="s">
        <v>583</v>
      </c>
    </row>
    <row r="49" spans="1:23" ht="26.25" customHeight="1">
      <c r="A49" s="388"/>
      <c r="B49" s="378"/>
      <c r="C49" s="378" t="s">
        <v>584</v>
      </c>
      <c r="D49" s="251" t="s">
        <v>585</v>
      </c>
    </row>
    <row r="50" spans="1:23" ht="17.25" thickBot="1">
      <c r="A50" s="389"/>
      <c r="B50" s="377"/>
      <c r="C50" s="377"/>
      <c r="D50" s="249" t="s">
        <v>586</v>
      </c>
    </row>
    <row r="51" spans="1:23">
      <c r="A51" s="387">
        <v>12</v>
      </c>
      <c r="B51" s="376" t="s">
        <v>587</v>
      </c>
      <c r="C51" s="246" t="s">
        <v>588</v>
      </c>
      <c r="D51" s="247" t="s">
        <v>589</v>
      </c>
    </row>
    <row r="52" spans="1:23" s="159" customFormat="1" ht="27.75" customHeight="1" thickBot="1">
      <c r="A52" s="389"/>
      <c r="B52" s="377"/>
      <c r="C52" s="248" t="s">
        <v>590</v>
      </c>
      <c r="D52" s="249" t="s">
        <v>591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s="245" customFormat="1" ht="17.25" thickBot="1">
      <c r="A53" s="255">
        <v>13</v>
      </c>
      <c r="B53" s="256" t="s">
        <v>592</v>
      </c>
      <c r="C53" s="256" t="s">
        <v>593</v>
      </c>
      <c r="D53" s="257" t="s">
        <v>594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s="245" customFormat="1">
      <c r="A54" s="387">
        <v>14</v>
      </c>
      <c r="B54" s="376" t="s">
        <v>294</v>
      </c>
      <c r="C54" s="246" t="s">
        <v>96</v>
      </c>
      <c r="D54" s="247" t="s">
        <v>595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s="245" customFormat="1" ht="17.25" thickBot="1">
      <c r="A55" s="389"/>
      <c r="B55" s="377"/>
      <c r="C55" s="248" t="s">
        <v>274</v>
      </c>
      <c r="D55" s="249" t="s">
        <v>596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s="245" customFormat="1" ht="17.25" thickBot="1">
      <c r="A56" s="255">
        <v>15</v>
      </c>
      <c r="B56" s="256" t="s">
        <v>597</v>
      </c>
      <c r="C56" s="256" t="s">
        <v>598</v>
      </c>
      <c r="D56" s="257" t="s">
        <v>599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s="245" customFormat="1" ht="17.25" thickBot="1">
      <c r="A57" s="255">
        <v>16</v>
      </c>
      <c r="B57" s="256" t="s">
        <v>600</v>
      </c>
      <c r="C57" s="256" t="s">
        <v>598</v>
      </c>
      <c r="D57" s="257" t="s">
        <v>601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s="245" customFormat="1" ht="17.25" thickBot="1">
      <c r="A58" s="255">
        <v>17</v>
      </c>
      <c r="B58" s="256" t="s">
        <v>602</v>
      </c>
      <c r="C58" s="256" t="s">
        <v>598</v>
      </c>
      <c r="D58" s="257" t="s">
        <v>603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s="245" customFormat="1" ht="17.25" thickBot="1">
      <c r="A59" s="255">
        <v>18</v>
      </c>
      <c r="B59" s="256" t="s">
        <v>604</v>
      </c>
      <c r="C59" s="256" t="s">
        <v>598</v>
      </c>
      <c r="D59" s="257" t="s">
        <v>605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s="245" customFormat="1" ht="17.25" thickBot="1">
      <c r="A60" s="255">
        <v>19</v>
      </c>
      <c r="B60" s="256" t="s">
        <v>606</v>
      </c>
      <c r="C60" s="256" t="s">
        <v>607</v>
      </c>
      <c r="D60" s="257" t="s">
        <v>608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s="245" customFormat="1" ht="17.25" thickBot="1">
      <c r="A61" s="255">
        <v>20</v>
      </c>
      <c r="B61" s="256" t="s">
        <v>609</v>
      </c>
      <c r="C61" s="256" t="s">
        <v>607</v>
      </c>
      <c r="D61" s="257" t="s">
        <v>610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88">
        <v>21</v>
      </c>
      <c r="B62" s="378" t="s">
        <v>291</v>
      </c>
      <c r="C62" s="246" t="s">
        <v>268</v>
      </c>
      <c r="D62" s="247" t="s">
        <v>611</v>
      </c>
    </row>
    <row r="63" spans="1:23" ht="17.25" thickBot="1">
      <c r="A63" s="389"/>
      <c r="B63" s="377"/>
      <c r="C63" s="248" t="s">
        <v>274</v>
      </c>
      <c r="D63" s="249" t="s">
        <v>612</v>
      </c>
    </row>
    <row r="64" spans="1:23" ht="17.25" thickBot="1">
      <c r="A64" s="255">
        <v>22</v>
      </c>
      <c r="B64" s="256" t="s">
        <v>292</v>
      </c>
      <c r="C64" s="256" t="s">
        <v>607</v>
      </c>
      <c r="D64" s="257" t="s">
        <v>613</v>
      </c>
    </row>
    <row r="65" spans="1:23">
      <c r="A65" s="387">
        <v>23</v>
      </c>
      <c r="B65" s="376" t="s">
        <v>293</v>
      </c>
      <c r="C65" s="376" t="s">
        <v>607</v>
      </c>
      <c r="D65" s="247" t="s">
        <v>614</v>
      </c>
    </row>
    <row r="66" spans="1:23" s="159" customFormat="1" ht="17.25" thickBot="1">
      <c r="A66" s="389"/>
      <c r="B66" s="377"/>
      <c r="C66" s="377"/>
      <c r="D66" s="249" t="s">
        <v>615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s="159" customFormat="1">
      <c r="A67" s="387">
        <v>24</v>
      </c>
      <c r="B67" s="376" t="s">
        <v>300</v>
      </c>
      <c r="C67" s="246" t="s">
        <v>268</v>
      </c>
      <c r="D67" s="247" t="s">
        <v>616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7.25" thickBot="1">
      <c r="A68" s="389"/>
      <c r="B68" s="377"/>
      <c r="C68" s="248" t="s">
        <v>92</v>
      </c>
      <c r="D68" s="249" t="s">
        <v>617</v>
      </c>
    </row>
    <row r="69" spans="1:23" s="245" customFormat="1" ht="17.25" thickBot="1">
      <c r="A69" s="255">
        <v>25</v>
      </c>
      <c r="B69" s="256" t="s">
        <v>278</v>
      </c>
      <c r="C69" s="256" t="s">
        <v>267</v>
      </c>
      <c r="D69" s="258" t="s">
        <v>618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87">
        <v>26</v>
      </c>
      <c r="B70" s="376" t="s">
        <v>273</v>
      </c>
      <c r="C70" s="246" t="s">
        <v>619</v>
      </c>
      <c r="D70" s="247" t="s">
        <v>620</v>
      </c>
    </row>
    <row r="71" spans="1:23" s="159" customFormat="1" ht="17.25" thickBot="1">
      <c r="A71" s="389"/>
      <c r="B71" s="377"/>
      <c r="C71" s="248" t="s">
        <v>268</v>
      </c>
      <c r="D71" s="249" t="s">
        <v>621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87">
        <v>27</v>
      </c>
      <c r="B72" s="376" t="s">
        <v>622</v>
      </c>
      <c r="C72" s="246" t="s">
        <v>623</v>
      </c>
      <c r="D72" s="247" t="s">
        <v>624</v>
      </c>
    </row>
    <row r="73" spans="1:23" s="159" customFormat="1" ht="17.25" thickBot="1">
      <c r="A73" s="389"/>
      <c r="B73" s="377"/>
      <c r="C73" s="248" t="s">
        <v>274</v>
      </c>
      <c r="D73" s="249" t="s">
        <v>625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87">
        <v>28</v>
      </c>
      <c r="B74" s="392" t="s">
        <v>290</v>
      </c>
      <c r="C74" s="246" t="s">
        <v>269</v>
      </c>
      <c r="D74" s="247" t="s">
        <v>626</v>
      </c>
    </row>
    <row r="75" spans="1:23" s="159" customFormat="1" ht="17.25" thickBot="1">
      <c r="A75" s="389"/>
      <c r="B75" s="393"/>
      <c r="C75" s="248" t="s">
        <v>607</v>
      </c>
      <c r="D75" s="249" t="s">
        <v>627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s="159" customFormat="1">
      <c r="A76" s="387">
        <v>29</v>
      </c>
      <c r="B76" s="376" t="s">
        <v>295</v>
      </c>
      <c r="C76" s="246" t="s">
        <v>628</v>
      </c>
      <c r="D76" s="247" t="s">
        <v>629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s="159" customFormat="1">
      <c r="A77" s="388"/>
      <c r="B77" s="378"/>
      <c r="C77" s="157" t="s">
        <v>598</v>
      </c>
      <c r="D77" s="251" t="s">
        <v>630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s="159" customFormat="1" ht="17.25" thickBot="1">
      <c r="A78" s="389"/>
      <c r="B78" s="377"/>
      <c r="C78" s="248" t="s">
        <v>631</v>
      </c>
      <c r="D78" s="249" t="s">
        <v>632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s="159" customFormat="1">
      <c r="A79" s="387">
        <v>30</v>
      </c>
      <c r="B79" s="376" t="s">
        <v>296</v>
      </c>
      <c r="C79" s="246" t="s">
        <v>252</v>
      </c>
      <c r="D79" s="247" t="s">
        <v>633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7.25" thickBot="1">
      <c r="A80" s="389"/>
      <c r="B80" s="377"/>
      <c r="C80" s="248" t="s">
        <v>104</v>
      </c>
      <c r="D80" s="249" t="s">
        <v>634</v>
      </c>
    </row>
    <row r="81" spans="1:23">
      <c r="A81" s="387">
        <v>31</v>
      </c>
      <c r="B81" s="376" t="s">
        <v>297</v>
      </c>
      <c r="C81" s="246" t="s">
        <v>252</v>
      </c>
      <c r="D81" s="247" t="s">
        <v>635</v>
      </c>
    </row>
    <row r="82" spans="1:23" s="159" customFormat="1" ht="17.25" thickBot="1">
      <c r="A82" s="389"/>
      <c r="B82" s="377"/>
      <c r="C82" s="248" t="s">
        <v>104</v>
      </c>
      <c r="D82" s="249" t="s">
        <v>636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s="159" customFormat="1" ht="17.25" thickBot="1">
      <c r="A83" s="250">
        <v>32</v>
      </c>
      <c r="B83" s="246" t="s">
        <v>637</v>
      </c>
      <c r="C83" s="246" t="s">
        <v>532</v>
      </c>
      <c r="D83" s="247" t="s">
        <v>638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s="159" customFormat="1">
      <c r="A84" s="390">
        <v>33</v>
      </c>
      <c r="B84" s="376" t="s">
        <v>277</v>
      </c>
      <c r="C84" s="246" t="s">
        <v>272</v>
      </c>
      <c r="D84" s="247" t="s">
        <v>639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7.25" thickBot="1">
      <c r="A85" s="391"/>
      <c r="B85" s="377"/>
      <c r="C85" s="248" t="s">
        <v>254</v>
      </c>
      <c r="D85" s="249" t="s">
        <v>720</v>
      </c>
    </row>
    <row r="86" spans="1:23" s="159" customFormat="1" ht="17.25" thickBot="1">
      <c r="A86" s="261">
        <v>34</v>
      </c>
      <c r="B86" s="256" t="s">
        <v>640</v>
      </c>
      <c r="C86" s="256" t="s">
        <v>536</v>
      </c>
      <c r="D86" s="262" t="s">
        <v>641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s="159" customFormat="1" ht="17.25" thickBot="1">
      <c r="A87" s="255">
        <v>35</v>
      </c>
      <c r="B87" s="256" t="s">
        <v>642</v>
      </c>
      <c r="C87" s="256" t="s">
        <v>536</v>
      </c>
      <c r="D87" s="258" t="s">
        <v>721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s="159" customFormat="1" ht="17.25" thickBot="1">
      <c r="A88" s="255">
        <v>36</v>
      </c>
      <c r="B88" s="256" t="s">
        <v>644</v>
      </c>
      <c r="C88" s="256" t="s">
        <v>536</v>
      </c>
      <c r="D88" s="258" t="s">
        <v>643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7.25" thickBot="1">
      <c r="A89" s="255">
        <v>37</v>
      </c>
      <c r="B89" s="256" t="s">
        <v>645</v>
      </c>
      <c r="C89" s="256" t="s">
        <v>536</v>
      </c>
      <c r="D89" s="258" t="s">
        <v>646</v>
      </c>
    </row>
    <row r="90" spans="1:23" s="159" customFormat="1" ht="17.25" thickBot="1">
      <c r="A90" s="255">
        <v>38</v>
      </c>
      <c r="B90" s="256" t="s">
        <v>647</v>
      </c>
      <c r="C90" s="256" t="s">
        <v>536</v>
      </c>
      <c r="D90" s="258" t="s">
        <v>648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7.25" thickBot="1">
      <c r="A91" s="255">
        <v>39</v>
      </c>
      <c r="B91" s="256" t="s">
        <v>649</v>
      </c>
      <c r="C91" s="256" t="s">
        <v>536</v>
      </c>
      <c r="D91" s="258" t="s">
        <v>648</v>
      </c>
    </row>
    <row r="92" spans="1:23" s="159" customFormat="1" ht="17.25" thickBot="1">
      <c r="A92" s="255">
        <v>40</v>
      </c>
      <c r="B92" s="256" t="s">
        <v>288</v>
      </c>
      <c r="C92" s="256" t="s">
        <v>547</v>
      </c>
      <c r="D92" s="257" t="s">
        <v>650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s="245" customFormat="1" ht="17.25" thickBot="1">
      <c r="A93" s="255">
        <v>41</v>
      </c>
      <c r="B93" s="256" t="s">
        <v>289</v>
      </c>
      <c r="C93" s="256" t="s">
        <v>547</v>
      </c>
      <c r="D93" s="257" t="s">
        <v>651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7.25" thickBot="1">
      <c r="A94" s="255">
        <v>42</v>
      </c>
      <c r="B94" s="256" t="s">
        <v>652</v>
      </c>
      <c r="C94" s="256" t="s">
        <v>547</v>
      </c>
      <c r="D94" s="257" t="s">
        <v>653</v>
      </c>
    </row>
    <row r="95" spans="1:23" s="159" customFormat="1">
      <c r="A95" s="388">
        <v>43</v>
      </c>
      <c r="B95" s="376" t="s">
        <v>654</v>
      </c>
      <c r="C95" s="157" t="s">
        <v>118</v>
      </c>
      <c r="D95" s="251" t="s">
        <v>655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s="159" customFormat="1" ht="17.25" thickBot="1">
      <c r="A96" s="389"/>
      <c r="B96" s="377"/>
      <c r="C96" s="248" t="s">
        <v>257</v>
      </c>
      <c r="D96" s="249" t="s">
        <v>656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s="159" customFormat="1" ht="17.25" thickBot="1">
      <c r="A97" s="255">
        <v>44</v>
      </c>
      <c r="B97" s="256" t="s">
        <v>657</v>
      </c>
      <c r="C97" s="256" t="s">
        <v>561</v>
      </c>
      <c r="D97" s="257" t="s">
        <v>658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s="159" customFormat="1">
      <c r="A98" s="387">
        <v>45</v>
      </c>
      <c r="B98" s="376" t="s">
        <v>659</v>
      </c>
      <c r="C98" s="376" t="s">
        <v>561</v>
      </c>
      <c r="D98" s="396" t="s">
        <v>660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s="159" customFormat="1">
      <c r="A99" s="388"/>
      <c r="B99" s="378"/>
      <c r="C99" s="378"/>
      <c r="D99" s="39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s="245" customFormat="1" ht="17.25" thickBot="1">
      <c r="A100" s="389"/>
      <c r="B100" s="377"/>
      <c r="C100" s="248" t="s">
        <v>567</v>
      </c>
      <c r="D100" s="264" t="s">
        <v>661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s="245" customFormat="1" ht="17.25" thickBot="1">
      <c r="A101" s="255">
        <v>46</v>
      </c>
      <c r="B101" s="256" t="s">
        <v>301</v>
      </c>
      <c r="C101" s="256" t="s">
        <v>122</v>
      </c>
      <c r="D101" s="257" t="s">
        <v>662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s="245" customFormat="1" ht="17.25" thickBot="1">
      <c r="A102" s="250">
        <v>47</v>
      </c>
      <c r="B102" s="246" t="s">
        <v>276</v>
      </c>
      <c r="C102" s="246" t="s">
        <v>124</v>
      </c>
      <c r="D102" s="247" t="s">
        <v>663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s="245" customFormat="1" ht="17.25" thickBot="1">
      <c r="A103" s="255">
        <v>48</v>
      </c>
      <c r="B103" s="256" t="s">
        <v>664</v>
      </c>
      <c r="C103" s="256" t="s">
        <v>124</v>
      </c>
      <c r="D103" s="257" t="s">
        <v>665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s="245" customFormat="1" ht="17.25" thickBot="1">
      <c r="A104" s="255">
        <v>49</v>
      </c>
      <c r="B104" s="256" t="s">
        <v>666</v>
      </c>
      <c r="C104" s="256" t="s">
        <v>556</v>
      </c>
      <c r="D104" s="257" t="s">
        <v>667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s="245" customFormat="1" ht="17.25" thickBot="1">
      <c r="A105" s="255">
        <v>50</v>
      </c>
      <c r="B105" s="256" t="s">
        <v>668</v>
      </c>
      <c r="C105" s="256" t="s">
        <v>669</v>
      </c>
      <c r="D105" s="257" t="s">
        <v>670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s="245" customFormat="1" ht="17.25" thickBot="1">
      <c r="A106" s="255">
        <v>51</v>
      </c>
      <c r="B106" s="256" t="s">
        <v>281</v>
      </c>
      <c r="C106" s="265" t="s">
        <v>132</v>
      </c>
      <c r="D106" s="266" t="s">
        <v>671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7.25" thickBot="1">
      <c r="A107" s="255">
        <v>52</v>
      </c>
      <c r="B107" s="256" t="s">
        <v>282</v>
      </c>
      <c r="C107" s="265" t="s">
        <v>132</v>
      </c>
      <c r="D107" s="266" t="s">
        <v>672</v>
      </c>
    </row>
    <row r="108" spans="1:23" s="159" customFormat="1" ht="17.25" thickBot="1">
      <c r="A108" s="250">
        <v>53</v>
      </c>
      <c r="B108" s="246" t="s">
        <v>673</v>
      </c>
      <c r="C108" s="267" t="s">
        <v>132</v>
      </c>
      <c r="D108" s="268" t="s">
        <v>674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82">
        <v>54</v>
      </c>
      <c r="B109" s="383" t="s">
        <v>675</v>
      </c>
      <c r="C109" s="267" t="s">
        <v>257</v>
      </c>
      <c r="D109" s="268" t="s">
        <v>676</v>
      </c>
    </row>
    <row r="110" spans="1:23" s="159" customFormat="1" ht="17.25" thickBot="1">
      <c r="A110" s="381"/>
      <c r="B110" s="385"/>
      <c r="C110" s="269" t="s">
        <v>132</v>
      </c>
      <c r="D110" s="270" t="s">
        <v>677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s="159" customFormat="1" ht="17.25" thickBot="1">
      <c r="A111" s="255">
        <v>55</v>
      </c>
      <c r="B111" s="256" t="s">
        <v>283</v>
      </c>
      <c r="C111" s="265" t="s">
        <v>132</v>
      </c>
      <c r="D111" s="266" t="s">
        <v>678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s="159" customFormat="1" ht="17.25" thickBot="1">
      <c r="A112" s="255">
        <v>56</v>
      </c>
      <c r="B112" s="256" t="s">
        <v>679</v>
      </c>
      <c r="C112" s="265" t="s">
        <v>132</v>
      </c>
      <c r="D112" s="266" t="s">
        <v>722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s="159" customFormat="1" ht="17.25" thickBot="1">
      <c r="A113" s="255">
        <v>57</v>
      </c>
      <c r="B113" s="256" t="s">
        <v>284</v>
      </c>
      <c r="C113" s="265" t="s">
        <v>132</v>
      </c>
      <c r="D113" s="266" t="s">
        <v>680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s="159" customFormat="1" ht="17.25" thickBot="1">
      <c r="A114" s="255">
        <v>58</v>
      </c>
      <c r="B114" s="256" t="s">
        <v>285</v>
      </c>
      <c r="C114" s="265" t="s">
        <v>132</v>
      </c>
      <c r="D114" s="266" t="s">
        <v>681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s="245" customFormat="1" ht="17.25" thickBot="1">
      <c r="A115" s="255">
        <v>59</v>
      </c>
      <c r="B115" s="256" t="s">
        <v>286</v>
      </c>
      <c r="C115" s="265" t="s">
        <v>132</v>
      </c>
      <c r="D115" s="266" t="s">
        <v>682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s="245" customFormat="1" ht="17.25" thickBot="1">
      <c r="A116" s="255">
        <v>60</v>
      </c>
      <c r="B116" s="256" t="s">
        <v>287</v>
      </c>
      <c r="C116" s="265" t="s">
        <v>132</v>
      </c>
      <c r="D116" s="266" t="s">
        <v>683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s="245" customFormat="1" ht="17.25" thickBot="1">
      <c r="A117" s="255">
        <v>61</v>
      </c>
      <c r="B117" s="256" t="s">
        <v>684</v>
      </c>
      <c r="C117" s="265" t="s">
        <v>685</v>
      </c>
      <c r="D117" s="266" t="s">
        <v>686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s="245" customFormat="1" ht="17.25" thickBot="1">
      <c r="A118" s="255">
        <v>62</v>
      </c>
      <c r="B118" s="256" t="s">
        <v>687</v>
      </c>
      <c r="C118" s="271" t="s">
        <v>685</v>
      </c>
      <c r="D118" s="272" t="s">
        <v>688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s="245" customFormat="1" ht="17.25" thickBot="1">
      <c r="A119" s="255">
        <v>63</v>
      </c>
      <c r="B119" s="256" t="s">
        <v>279</v>
      </c>
      <c r="C119" s="271" t="s">
        <v>138</v>
      </c>
      <c r="D119" s="272" t="s">
        <v>689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s="245" customFormat="1">
      <c r="A120" s="387">
        <v>64</v>
      </c>
      <c r="B120" s="376" t="s">
        <v>280</v>
      </c>
      <c r="C120" s="394" t="s">
        <v>138</v>
      </c>
      <c r="D120" s="263" t="s">
        <v>690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s="245" customFormat="1" ht="17.25" thickBot="1">
      <c r="A121" s="389"/>
      <c r="B121" s="377"/>
      <c r="C121" s="395"/>
      <c r="D121" s="264" t="s">
        <v>691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s="245" customFormat="1" ht="17.25" thickBot="1">
      <c r="A122" s="255">
        <v>65</v>
      </c>
      <c r="B122" s="256" t="s">
        <v>298</v>
      </c>
      <c r="C122" s="273" t="s">
        <v>138</v>
      </c>
      <c r="D122" s="257" t="s">
        <v>692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s="245" customFormat="1" ht="17.25" thickBot="1">
      <c r="A123" s="255">
        <v>66</v>
      </c>
      <c r="B123" s="256" t="s">
        <v>299</v>
      </c>
      <c r="C123" s="273" t="s">
        <v>138</v>
      </c>
      <c r="D123" s="257" t="s">
        <v>693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s="245" customFormat="1" ht="17.25" thickBot="1">
      <c r="A124" s="255">
        <v>67</v>
      </c>
      <c r="B124" s="256" t="s">
        <v>694</v>
      </c>
      <c r="C124" s="273" t="s">
        <v>695</v>
      </c>
      <c r="D124" s="257" t="s">
        <v>696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s="245" customFormat="1" ht="14.45" customHeight="1">
      <c r="A125" s="387">
        <v>68</v>
      </c>
      <c r="B125" s="376" t="s">
        <v>697</v>
      </c>
      <c r="C125" s="259" t="s">
        <v>245</v>
      </c>
      <c r="D125" s="247" t="s">
        <v>698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s="245" customFormat="1">
      <c r="A126" s="388"/>
      <c r="B126" s="378"/>
      <c r="C126" s="274" t="s">
        <v>536</v>
      </c>
      <c r="D126" s="251" t="s">
        <v>648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s="245" customFormat="1">
      <c r="A127" s="388"/>
      <c r="B127" s="378"/>
      <c r="C127" s="274" t="s">
        <v>522</v>
      </c>
      <c r="D127" s="251" t="s">
        <v>700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s="245" customFormat="1" ht="17.25" thickBot="1">
      <c r="A128" s="389"/>
      <c r="B128" s="377"/>
      <c r="C128" s="260" t="s">
        <v>268</v>
      </c>
      <c r="D128" s="249" t="s">
        <v>701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s="245" customFormat="1">
      <c r="A129" s="387">
        <v>69</v>
      </c>
      <c r="B129" s="376" t="s">
        <v>699</v>
      </c>
      <c r="C129" s="259" t="s">
        <v>702</v>
      </c>
      <c r="D129" s="247" t="s">
        <v>703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s="245" customFormat="1">
      <c r="A130" s="388"/>
      <c r="B130" s="378"/>
      <c r="C130" s="274" t="s">
        <v>96</v>
      </c>
      <c r="D130" s="251" t="s">
        <v>704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s="245" customFormat="1">
      <c r="A131" s="388"/>
      <c r="B131" s="378"/>
      <c r="C131" s="274" t="s">
        <v>274</v>
      </c>
      <c r="D131" s="251" t="s">
        <v>705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s="245" customFormat="1">
      <c r="A132" s="388"/>
      <c r="B132" s="378"/>
      <c r="C132" s="274" t="s">
        <v>104</v>
      </c>
      <c r="D132" s="251" t="s">
        <v>706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s="245" customFormat="1">
      <c r="A133" s="388"/>
      <c r="B133" s="378"/>
      <c r="C133" s="274" t="s">
        <v>254</v>
      </c>
      <c r="D133" s="251" t="s">
        <v>707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88"/>
      <c r="B134" s="378"/>
      <c r="C134" s="274" t="s">
        <v>271</v>
      </c>
      <c r="D134" s="251" t="s">
        <v>708</v>
      </c>
    </row>
    <row r="135" spans="1:23" ht="17.25" thickBot="1">
      <c r="A135" s="389"/>
      <c r="B135" s="377"/>
      <c r="C135" s="260" t="s">
        <v>134</v>
      </c>
      <c r="D135" s="249" t="s">
        <v>709</v>
      </c>
    </row>
    <row r="136" spans="1:23">
      <c r="A136" s="387">
        <v>70</v>
      </c>
      <c r="B136" s="376" t="s">
        <v>710</v>
      </c>
      <c r="C136" s="259" t="s">
        <v>588</v>
      </c>
      <c r="D136" s="247" t="s">
        <v>711</v>
      </c>
    </row>
    <row r="137" spans="1:23">
      <c r="A137" s="388"/>
      <c r="B137" s="378"/>
      <c r="C137" s="274" t="s">
        <v>272</v>
      </c>
      <c r="D137" s="251" t="s">
        <v>648</v>
      </c>
    </row>
    <row r="138" spans="1:23">
      <c r="A138" s="388"/>
      <c r="B138" s="378"/>
      <c r="C138" s="274" t="s">
        <v>712</v>
      </c>
      <c r="D138" s="251" t="s">
        <v>713</v>
      </c>
    </row>
    <row r="139" spans="1:23">
      <c r="A139" s="388"/>
      <c r="B139" s="378"/>
      <c r="C139" s="274" t="s">
        <v>116</v>
      </c>
      <c r="D139" s="251" t="s">
        <v>714</v>
      </c>
    </row>
    <row r="140" spans="1:23" ht="17.25" thickBot="1">
      <c r="A140" s="389"/>
      <c r="B140" s="377"/>
      <c r="C140" s="260" t="s">
        <v>607</v>
      </c>
      <c r="D140" s="249" t="s">
        <v>715</v>
      </c>
    </row>
  </sheetData>
  <mergeCells count="68">
    <mergeCell ref="A129:A135"/>
    <mergeCell ref="B129:B135"/>
    <mergeCell ref="A136:A140"/>
    <mergeCell ref="B136:B140"/>
    <mergeCell ref="D98:D99"/>
    <mergeCell ref="A109:A110"/>
    <mergeCell ref="B109:B110"/>
    <mergeCell ref="A125:A128"/>
    <mergeCell ref="B125:B128"/>
    <mergeCell ref="C120:C121"/>
    <mergeCell ref="A76:A78"/>
    <mergeCell ref="B76:B78"/>
    <mergeCell ref="A79:A80"/>
    <mergeCell ref="B79:B80"/>
    <mergeCell ref="A81:A82"/>
    <mergeCell ref="B81:B82"/>
    <mergeCell ref="A84:A85"/>
    <mergeCell ref="B84:B85"/>
    <mergeCell ref="A95:A96"/>
    <mergeCell ref="B95:B96"/>
    <mergeCell ref="A98:A100"/>
    <mergeCell ref="B98:B100"/>
    <mergeCell ref="C98:C99"/>
    <mergeCell ref="A67:A68"/>
    <mergeCell ref="B67:B68"/>
    <mergeCell ref="A70:A71"/>
    <mergeCell ref="B70:B71"/>
    <mergeCell ref="A120:A121"/>
    <mergeCell ref="B120:B121"/>
    <mergeCell ref="A72:A73"/>
    <mergeCell ref="B72:B73"/>
    <mergeCell ref="A74:A75"/>
    <mergeCell ref="B74:B75"/>
    <mergeCell ref="B42:B43"/>
    <mergeCell ref="B44:B47"/>
    <mergeCell ref="A48:A50"/>
    <mergeCell ref="B48:B50"/>
    <mergeCell ref="A51:A52"/>
    <mergeCell ref="B51:B52"/>
    <mergeCell ref="A54:A55"/>
    <mergeCell ref="B54:B55"/>
    <mergeCell ref="A62:A63"/>
    <mergeCell ref="B62:B63"/>
    <mergeCell ref="A42:A47"/>
    <mergeCell ref="A65:A66"/>
    <mergeCell ref="A5:A6"/>
    <mergeCell ref="B5:B6"/>
    <mergeCell ref="A7:A10"/>
    <mergeCell ref="B7:B10"/>
    <mergeCell ref="A11:A15"/>
    <mergeCell ref="B11:B15"/>
    <mergeCell ref="A16:A18"/>
    <mergeCell ref="B16:B18"/>
    <mergeCell ref="A19:A20"/>
    <mergeCell ref="B19:B20"/>
    <mergeCell ref="A21:A22"/>
    <mergeCell ref="B21:B22"/>
    <mergeCell ref="A23:A30"/>
    <mergeCell ref="B23:B30"/>
    <mergeCell ref="B31:B36"/>
    <mergeCell ref="A37:A41"/>
    <mergeCell ref="B37:B41"/>
    <mergeCell ref="C65:C66"/>
    <mergeCell ref="C38:C39"/>
    <mergeCell ref="C42:C45"/>
    <mergeCell ref="C49:C50"/>
    <mergeCell ref="A31:A36"/>
    <mergeCell ref="B65:B66"/>
  </mergeCells>
  <hyperlinks>
    <hyperlink ref="A1" location="'فهرس - Index'!A1" tooltip="#'فهرس - Index'!A1 - Click once to follow. Click and hold to select this cell." display="عودة للفهرس-return to Index" xr:uid="{1ECA2835-32CB-4848-AA79-FC9ACC3D51A7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3"/>
  <sheetViews>
    <sheetView rightToLeft="1" workbookViewId="0">
      <selection activeCell="D22" sqref="D22"/>
    </sheetView>
  </sheetViews>
  <sheetFormatPr defaultColWidth="8.85546875" defaultRowHeight="16.5"/>
  <cols>
    <col min="1" max="1" width="11.85546875" style="3" customWidth="1"/>
    <col min="2" max="2" width="26.85546875" style="3" customWidth="1"/>
    <col min="3" max="3" width="13" style="3" customWidth="1"/>
    <col min="4" max="4" width="14.42578125" style="3" customWidth="1"/>
    <col min="5" max="6" width="26.85546875" style="3" customWidth="1"/>
    <col min="7" max="7" width="12.85546875" style="3" customWidth="1"/>
    <col min="8" max="8" width="11.42578125" style="3" customWidth="1"/>
    <col min="9" max="10" width="26.85546875" style="3" customWidth="1"/>
    <col min="11" max="11" width="13.28515625" style="3" customWidth="1"/>
    <col min="12" max="12" width="11.85546875" style="3" customWidth="1"/>
    <col min="13" max="13" width="8.85546875" style="3" customWidth="1"/>
    <col min="14" max="16384" width="8.85546875" style="3"/>
  </cols>
  <sheetData>
    <row r="1" spans="1:12">
      <c r="A1" s="163" t="s">
        <v>23</v>
      </c>
    </row>
    <row r="2" spans="1:12" ht="18">
      <c r="A2" s="398" t="s">
        <v>723</v>
      </c>
      <c r="B2" s="398"/>
      <c r="C2" s="398"/>
      <c r="D2" s="398"/>
      <c r="E2" s="398"/>
      <c r="F2" s="398"/>
      <c r="G2" s="398"/>
      <c r="H2" s="2"/>
    </row>
    <row r="3" spans="1:12" ht="18">
      <c r="A3" s="2"/>
      <c r="B3" s="2"/>
      <c r="C3" s="2"/>
      <c r="D3" s="2"/>
      <c r="E3" s="2"/>
      <c r="F3" s="2"/>
      <c r="G3" s="2"/>
      <c r="H3" s="2"/>
      <c r="L3" s="2" t="s">
        <v>724</v>
      </c>
    </row>
    <row r="4" spans="1:12" ht="18">
      <c r="A4" s="2" t="s">
        <v>302</v>
      </c>
      <c r="B4" s="2"/>
      <c r="C4" s="2"/>
      <c r="D4" s="2"/>
      <c r="E4" s="2"/>
      <c r="F4" s="2"/>
      <c r="G4" s="2"/>
      <c r="L4" s="2" t="s">
        <v>303</v>
      </c>
    </row>
    <row r="5" spans="1:12" ht="13.9" customHeight="1">
      <c r="A5" s="368" t="s">
        <v>26</v>
      </c>
      <c r="B5" s="374" t="s">
        <v>304</v>
      </c>
      <c r="C5" s="354"/>
      <c r="D5" s="355"/>
      <c r="E5" s="369" t="s">
        <v>305</v>
      </c>
      <c r="F5" s="374" t="s">
        <v>306</v>
      </c>
      <c r="G5" s="354"/>
      <c r="H5" s="355"/>
      <c r="I5" s="374" t="s">
        <v>237</v>
      </c>
      <c r="J5" s="374" t="s">
        <v>307</v>
      </c>
      <c r="K5" s="354"/>
      <c r="L5" s="355"/>
    </row>
    <row r="6" spans="1:12" ht="30" customHeight="1">
      <c r="A6" s="346"/>
      <c r="B6" s="375" t="s">
        <v>308</v>
      </c>
      <c r="C6" s="352"/>
      <c r="D6" s="347"/>
      <c r="E6" s="358"/>
      <c r="F6" s="375" t="s">
        <v>309</v>
      </c>
      <c r="G6" s="352"/>
      <c r="H6" s="347"/>
      <c r="I6" s="358"/>
      <c r="J6" s="375" t="s">
        <v>310</v>
      </c>
      <c r="K6" s="352"/>
      <c r="L6" s="347"/>
    </row>
    <row r="7" spans="1:12" ht="31.15" customHeight="1">
      <c r="A7" s="346"/>
      <c r="B7" s="24" t="s">
        <v>311</v>
      </c>
      <c r="C7" s="24" t="s">
        <v>312</v>
      </c>
      <c r="D7" s="24" t="s">
        <v>313</v>
      </c>
      <c r="E7" s="358"/>
      <c r="F7" s="24" t="s">
        <v>311</v>
      </c>
      <c r="G7" s="24" t="s">
        <v>312</v>
      </c>
      <c r="H7" s="24" t="s">
        <v>313</v>
      </c>
      <c r="I7" s="375" t="s">
        <v>314</v>
      </c>
      <c r="J7" s="24" t="s">
        <v>311</v>
      </c>
      <c r="K7" s="24" t="s">
        <v>312</v>
      </c>
      <c r="L7" s="24" t="s">
        <v>313</v>
      </c>
    </row>
    <row r="8" spans="1:12" ht="42" customHeight="1">
      <c r="A8" s="347"/>
      <c r="B8" s="25" t="s">
        <v>315</v>
      </c>
      <c r="C8" s="25" t="s">
        <v>316</v>
      </c>
      <c r="D8" s="25" t="s">
        <v>317</v>
      </c>
      <c r="E8" s="364"/>
      <c r="F8" s="25" t="s">
        <v>315</v>
      </c>
      <c r="G8" s="25" t="s">
        <v>316</v>
      </c>
      <c r="H8" s="25" t="s">
        <v>317</v>
      </c>
      <c r="I8" s="364"/>
      <c r="J8" s="25" t="s">
        <v>315</v>
      </c>
      <c r="K8" s="25" t="s">
        <v>316</v>
      </c>
      <c r="L8" s="25" t="s">
        <v>317</v>
      </c>
    </row>
    <row r="9" spans="1:12">
      <c r="A9" s="275">
        <v>2024</v>
      </c>
      <c r="B9" s="279">
        <v>220</v>
      </c>
      <c r="C9" s="279">
        <v>57</v>
      </c>
      <c r="D9" s="279">
        <v>104</v>
      </c>
      <c r="E9" s="276">
        <v>253</v>
      </c>
      <c r="F9" s="280">
        <f>(B9/E9*100)/100</f>
        <v>0.86956521739130432</v>
      </c>
      <c r="G9" s="280">
        <f>(C9/E9*100)/100</f>
        <v>0.22529644268774704</v>
      </c>
      <c r="H9" s="280">
        <f>(D9/E9*100)/100</f>
        <v>0.4110671936758894</v>
      </c>
      <c r="I9" s="276">
        <v>106556174</v>
      </c>
      <c r="J9" s="281">
        <f>B9/I9*10000</f>
        <v>2.0646386947038846E-2</v>
      </c>
      <c r="K9" s="281">
        <f>C9/I9*10000</f>
        <v>5.3492911635509739E-3</v>
      </c>
      <c r="L9" s="281">
        <f>D9/I9*10000</f>
        <v>9.7601101931456356E-3</v>
      </c>
    </row>
    <row r="10" spans="1:12">
      <c r="A10" s="275">
        <v>2023</v>
      </c>
      <c r="B10" s="233">
        <v>181</v>
      </c>
      <c r="C10" s="233">
        <v>53</v>
      </c>
      <c r="D10" s="233">
        <v>51</v>
      </c>
      <c r="E10" s="233">
        <v>251.1</v>
      </c>
      <c r="F10" s="282">
        <f>(B10/E10*100)/100</f>
        <v>0.72082835523695754</v>
      </c>
      <c r="G10" s="282">
        <v>0.21107128634010355</v>
      </c>
      <c r="H10" s="282">
        <v>0.2031063321385902</v>
      </c>
      <c r="I10" s="233">
        <v>105174090</v>
      </c>
      <c r="J10" s="283">
        <v>1.7209561784656279E-2</v>
      </c>
      <c r="K10" s="283">
        <v>5.0392639479932754E-3</v>
      </c>
      <c r="L10" s="283">
        <v>4.849103044295415E-3</v>
      </c>
    </row>
    <row r="11" spans="1:12">
      <c r="A11" s="275">
        <v>2022</v>
      </c>
      <c r="B11" s="233">
        <v>831</v>
      </c>
      <c r="C11" s="233">
        <v>407</v>
      </c>
      <c r="D11" s="233">
        <v>338</v>
      </c>
      <c r="E11" s="233">
        <v>389.3</v>
      </c>
      <c r="F11" s="282">
        <v>2.1346005651168762</v>
      </c>
      <c r="G11" s="282">
        <v>1.045466221423067</v>
      </c>
      <c r="H11" s="282">
        <v>0.86822501926534801</v>
      </c>
      <c r="I11" s="233">
        <v>103605039</v>
      </c>
      <c r="J11" s="283">
        <v>8.0208453953673042E-2</v>
      </c>
      <c r="K11" s="283">
        <v>3.9283803560944561E-2</v>
      </c>
      <c r="L11" s="283">
        <v>3.2623895831939219E-2</v>
      </c>
    </row>
    <row r="12" spans="1:12">
      <c r="A12" s="275">
        <v>2021</v>
      </c>
      <c r="B12" s="233">
        <v>738</v>
      </c>
      <c r="C12" s="233">
        <v>399</v>
      </c>
      <c r="D12" s="233">
        <v>531</v>
      </c>
      <c r="E12" s="233">
        <v>253.7</v>
      </c>
      <c r="F12" s="282">
        <v>2.9089475758770202</v>
      </c>
      <c r="G12" s="282">
        <v>1.5727236893969256</v>
      </c>
      <c r="H12" s="282">
        <v>2.0930232558139537</v>
      </c>
      <c r="I12" s="233">
        <v>102060688</v>
      </c>
      <c r="J12" s="283">
        <v>9.5825338743552299E-2</v>
      </c>
      <c r="K12" s="283">
        <v>3.9094386665314271E-2</v>
      </c>
      <c r="L12" s="283">
        <v>5.2027867968125009E-2</v>
      </c>
    </row>
    <row r="13" spans="1:12">
      <c r="A13" s="232">
        <v>2020</v>
      </c>
      <c r="B13" s="284">
        <v>655</v>
      </c>
      <c r="C13" s="284">
        <v>289</v>
      </c>
      <c r="D13" s="284">
        <v>285</v>
      </c>
      <c r="E13" s="278">
        <v>307</v>
      </c>
      <c r="F13" s="285">
        <v>2.9</v>
      </c>
      <c r="G13" s="285">
        <v>0.9</v>
      </c>
      <c r="H13" s="285">
        <v>1.7</v>
      </c>
      <c r="I13" s="278">
        <v>100604140</v>
      </c>
      <c r="J13" s="286">
        <v>8.9260740164370994E-2</v>
      </c>
      <c r="K13" s="286">
        <v>2.8726452012809808E-2</v>
      </c>
      <c r="L13" s="286">
        <v>2.832885406107542E-2</v>
      </c>
    </row>
  </sheetData>
  <mergeCells count="11">
    <mergeCell ref="J5:L5"/>
    <mergeCell ref="J6:L6"/>
    <mergeCell ref="B5:D5"/>
    <mergeCell ref="F6:H6"/>
    <mergeCell ref="F5:H5"/>
    <mergeCell ref="A2:G2"/>
    <mergeCell ref="I7:I8"/>
    <mergeCell ref="A5:A8"/>
    <mergeCell ref="E5:E8"/>
    <mergeCell ref="B6:D6"/>
    <mergeCell ref="I5:I6"/>
  </mergeCells>
  <hyperlinks>
    <hyperlink ref="A1" location="'فهرس - Index'!A1" tooltip="#'فهرس - Index'!A1 - Click once to follow. Click and hold to select this cell." display="عودة للفهرس-return to Index" xr:uid="{9794C00C-5F0B-4875-ACE1-EBF7BC6303BA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0"/>
  <sheetViews>
    <sheetView rightToLeft="1" workbookViewId="0">
      <selection activeCell="E15" sqref="E15"/>
    </sheetView>
  </sheetViews>
  <sheetFormatPr defaultColWidth="8.85546875" defaultRowHeight="16.5"/>
  <cols>
    <col min="1" max="1" width="16" style="3" customWidth="1"/>
    <col min="2" max="2" width="24.28515625" style="3" customWidth="1"/>
    <col min="3" max="3" width="25.5703125" style="3" customWidth="1"/>
    <col min="4" max="4" width="25.28515625" style="3" customWidth="1"/>
    <col min="5" max="5" width="17" style="3" customWidth="1"/>
    <col min="6" max="6" width="21.28515625" style="3" customWidth="1"/>
    <col min="7" max="7" width="21.5703125" style="3" customWidth="1"/>
    <col min="8" max="8" width="17.28515625" style="3" customWidth="1"/>
    <col min="9" max="9" width="19.28515625" style="3" customWidth="1"/>
    <col min="10" max="16384" width="8.85546875" style="3"/>
  </cols>
  <sheetData>
    <row r="1" spans="1:8">
      <c r="A1" s="163" t="s">
        <v>23</v>
      </c>
    </row>
    <row r="2" spans="1:8" s="2" customFormat="1" ht="18">
      <c r="A2" s="2" t="s">
        <v>733</v>
      </c>
      <c r="H2" s="2" t="s">
        <v>725</v>
      </c>
    </row>
    <row r="3" spans="1:8" s="2" customFormat="1" ht="18">
      <c r="A3" s="2" t="s">
        <v>318</v>
      </c>
      <c r="H3" s="2" t="s">
        <v>319</v>
      </c>
    </row>
    <row r="4" spans="1:8" s="2" customFormat="1" ht="31.15" customHeight="1">
      <c r="A4" s="373" t="s">
        <v>26</v>
      </c>
      <c r="B4" s="24" t="s">
        <v>320</v>
      </c>
      <c r="C4" s="24" t="s">
        <v>321</v>
      </c>
      <c r="D4" s="24" t="s">
        <v>726</v>
      </c>
      <c r="E4" s="24" t="s">
        <v>727</v>
      </c>
      <c r="F4" s="24" t="s">
        <v>322</v>
      </c>
      <c r="G4" s="24" t="s">
        <v>323</v>
      </c>
      <c r="H4" s="24" t="s">
        <v>727</v>
      </c>
    </row>
    <row r="5" spans="1:8" s="2" customFormat="1" ht="36">
      <c r="A5" s="367"/>
      <c r="B5" s="25" t="s">
        <v>324</v>
      </c>
      <c r="C5" s="25" t="s">
        <v>325</v>
      </c>
      <c r="D5" s="25" t="s">
        <v>728</v>
      </c>
      <c r="E5" s="25" t="s">
        <v>80</v>
      </c>
      <c r="F5" s="25" t="s">
        <v>326</v>
      </c>
      <c r="G5" s="25" t="s">
        <v>327</v>
      </c>
      <c r="H5" s="25" t="s">
        <v>80</v>
      </c>
    </row>
    <row r="6" spans="1:8" ht="18">
      <c r="A6" s="29">
        <v>2024</v>
      </c>
      <c r="B6" s="29">
        <v>53</v>
      </c>
      <c r="C6" s="29">
        <v>107</v>
      </c>
      <c r="D6" s="29">
        <v>60</v>
      </c>
      <c r="E6" s="30">
        <v>220</v>
      </c>
      <c r="F6" s="29">
        <v>1022</v>
      </c>
      <c r="G6" s="29">
        <v>228</v>
      </c>
      <c r="H6" s="30">
        <v>1250</v>
      </c>
    </row>
    <row r="7" spans="1:8" ht="18">
      <c r="A7" s="32">
        <v>2023</v>
      </c>
      <c r="B7" s="32">
        <v>12</v>
      </c>
      <c r="C7" s="32">
        <v>169</v>
      </c>
      <c r="D7" s="32">
        <v>0</v>
      </c>
      <c r="E7" s="33">
        <v>181</v>
      </c>
      <c r="F7" s="32">
        <v>1015</v>
      </c>
      <c r="G7" s="32">
        <v>242</v>
      </c>
      <c r="H7" s="33">
        <v>1257</v>
      </c>
    </row>
    <row r="8" spans="1:8" ht="18">
      <c r="A8" s="32">
        <v>2022</v>
      </c>
      <c r="B8" s="32">
        <v>26</v>
      </c>
      <c r="C8" s="32">
        <v>805</v>
      </c>
      <c r="D8" s="32">
        <v>0</v>
      </c>
      <c r="E8" s="33">
        <v>831</v>
      </c>
      <c r="F8" s="32">
        <v>0</v>
      </c>
      <c r="G8" s="32">
        <v>215</v>
      </c>
      <c r="H8" s="33">
        <v>215</v>
      </c>
    </row>
    <row r="9" spans="1:8" ht="18">
      <c r="A9" s="32">
        <v>2021</v>
      </c>
      <c r="B9" s="32">
        <v>45</v>
      </c>
      <c r="C9" s="32">
        <v>693</v>
      </c>
      <c r="D9" s="32">
        <v>0</v>
      </c>
      <c r="E9" s="33">
        <v>738</v>
      </c>
      <c r="F9" s="32">
        <v>0</v>
      </c>
      <c r="G9" s="32">
        <v>240</v>
      </c>
      <c r="H9" s="33">
        <v>240</v>
      </c>
    </row>
    <row r="10" spans="1:8" ht="18">
      <c r="A10" s="48">
        <v>2020</v>
      </c>
      <c r="B10" s="48">
        <v>37</v>
      </c>
      <c r="C10" s="48">
        <v>618</v>
      </c>
      <c r="D10" s="48">
        <v>0</v>
      </c>
      <c r="E10" s="49">
        <v>655</v>
      </c>
      <c r="F10" s="48">
        <v>0</v>
      </c>
      <c r="G10" s="48">
        <v>243</v>
      </c>
      <c r="H10" s="49">
        <v>243</v>
      </c>
    </row>
  </sheetData>
  <mergeCells count="1">
    <mergeCell ref="A4:A5"/>
  </mergeCells>
  <hyperlinks>
    <hyperlink ref="A1" location="'فهرس - Index'!A1" tooltip="#'فهرس - Index'!A1 - Click once to follow. Click and hold to select this cell." display="عودة للفهرس-return to Index" xr:uid="{BAF8E93E-30C0-419B-85DD-2B2586E3510A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2"/>
  <sheetViews>
    <sheetView rightToLeft="1" workbookViewId="0">
      <selection activeCell="B17" sqref="B17"/>
    </sheetView>
  </sheetViews>
  <sheetFormatPr defaultColWidth="8.85546875" defaultRowHeight="16.5"/>
  <cols>
    <col min="1" max="1" width="12" style="3" customWidth="1"/>
    <col min="2" max="2" width="28.42578125" style="3" customWidth="1"/>
    <col min="3" max="5" width="11.42578125" style="3" customWidth="1"/>
    <col min="6" max="6" width="31.7109375" style="3" customWidth="1"/>
    <col min="7" max="7" width="28.42578125" style="3" customWidth="1"/>
    <col min="8" max="8" width="24.42578125" style="3" customWidth="1"/>
    <col min="9" max="9" width="24.7109375" style="3" customWidth="1"/>
    <col min="10" max="10" width="19.85546875" style="3" customWidth="1"/>
    <col min="11" max="11" width="8.85546875" style="3" customWidth="1"/>
    <col min="12" max="16384" width="8.85546875" style="3"/>
  </cols>
  <sheetData>
    <row r="1" spans="1:10">
      <c r="A1" s="163" t="s">
        <v>23</v>
      </c>
    </row>
    <row r="2" spans="1:10" s="2" customFormat="1" ht="18">
      <c r="A2" s="2" t="s">
        <v>448</v>
      </c>
    </row>
    <row r="3" spans="1:10" s="2" customFormat="1" ht="18">
      <c r="J3" s="2" t="s">
        <v>729</v>
      </c>
    </row>
    <row r="4" spans="1:10" s="2" customFormat="1" ht="18">
      <c r="A4" s="2" t="s">
        <v>328</v>
      </c>
      <c r="J4" s="2" t="s">
        <v>329</v>
      </c>
    </row>
    <row r="5" spans="1:10" s="2" customFormat="1" ht="42" customHeight="1">
      <c r="A5" s="369" t="s">
        <v>330</v>
      </c>
      <c r="B5" s="374" t="s">
        <v>311</v>
      </c>
      <c r="C5" s="375" t="s">
        <v>331</v>
      </c>
      <c r="D5" s="352"/>
      <c r="E5" s="347"/>
      <c r="F5" s="24" t="s">
        <v>332</v>
      </c>
      <c r="G5" s="24" t="s">
        <v>333</v>
      </c>
      <c r="H5" s="24" t="s">
        <v>334</v>
      </c>
      <c r="I5" s="24" t="s">
        <v>335</v>
      </c>
      <c r="J5" s="24" t="s">
        <v>336</v>
      </c>
    </row>
    <row r="6" spans="1:10" s="2" customFormat="1" ht="13.9" customHeight="1">
      <c r="A6" s="358"/>
      <c r="B6" s="358"/>
      <c r="C6" s="24" t="s">
        <v>337</v>
      </c>
      <c r="D6" s="24" t="s">
        <v>338</v>
      </c>
      <c r="E6" s="24" t="s">
        <v>339</v>
      </c>
      <c r="F6" s="375" t="s">
        <v>340</v>
      </c>
      <c r="G6" s="375" t="s">
        <v>38</v>
      </c>
      <c r="H6" s="375" t="s">
        <v>341</v>
      </c>
      <c r="I6" s="375" t="s">
        <v>342</v>
      </c>
      <c r="J6" s="375" t="s">
        <v>343</v>
      </c>
    </row>
    <row r="7" spans="1:10" s="2" customFormat="1" ht="39" customHeight="1">
      <c r="A7" s="364"/>
      <c r="B7" s="25" t="s">
        <v>315</v>
      </c>
      <c r="C7" s="25" t="s">
        <v>316</v>
      </c>
      <c r="D7" s="25" t="s">
        <v>317</v>
      </c>
      <c r="E7" s="25" t="s">
        <v>80</v>
      </c>
      <c r="F7" s="364"/>
      <c r="G7" s="364"/>
      <c r="H7" s="364"/>
      <c r="I7" s="364"/>
      <c r="J7" s="364"/>
    </row>
    <row r="8" spans="1:10" ht="18">
      <c r="A8" s="29">
        <v>2024</v>
      </c>
      <c r="B8" s="29">
        <v>220</v>
      </c>
      <c r="C8" s="29">
        <v>57</v>
      </c>
      <c r="D8" s="29">
        <v>104</v>
      </c>
      <c r="E8" s="30">
        <v>161</v>
      </c>
      <c r="F8" s="297">
        <v>0.73181818181818181</v>
      </c>
      <c r="G8" s="297">
        <v>54.807692307692314</v>
      </c>
      <c r="H8" s="297">
        <v>4.75</v>
      </c>
      <c r="I8" s="297">
        <v>8.6666666666666661</v>
      </c>
      <c r="J8" s="297">
        <v>109.7</v>
      </c>
    </row>
    <row r="9" spans="1:10" ht="18">
      <c r="A9" s="32">
        <v>2023</v>
      </c>
      <c r="B9" s="32">
        <v>181</v>
      </c>
      <c r="C9" s="32">
        <v>53</v>
      </c>
      <c r="D9" s="32">
        <v>51</v>
      </c>
      <c r="E9" s="33">
        <v>104</v>
      </c>
      <c r="F9" s="298">
        <v>0.574585635359116</v>
      </c>
      <c r="G9" s="298">
        <v>103.92156862745099</v>
      </c>
      <c r="H9" s="298">
        <v>4.416666666666667</v>
      </c>
      <c r="I9" s="298">
        <v>4.25</v>
      </c>
      <c r="J9" s="298">
        <v>56.3</v>
      </c>
    </row>
    <row r="10" spans="1:10" ht="18">
      <c r="A10" s="32">
        <v>2022</v>
      </c>
      <c r="B10" s="32">
        <v>831</v>
      </c>
      <c r="C10" s="32">
        <v>407</v>
      </c>
      <c r="D10" s="32">
        <v>338</v>
      </c>
      <c r="E10" s="33">
        <v>745</v>
      </c>
      <c r="F10" s="298">
        <v>0.89651022864019259</v>
      </c>
      <c r="G10" s="298">
        <v>120.41420118343196</v>
      </c>
      <c r="H10" s="298">
        <v>33.916666666666664</v>
      </c>
      <c r="I10" s="298">
        <v>28.166666666666668</v>
      </c>
      <c r="J10" s="298">
        <v>378.7</v>
      </c>
    </row>
    <row r="11" spans="1:10" ht="18">
      <c r="A11" s="32">
        <v>2021</v>
      </c>
      <c r="B11" s="32">
        <v>738</v>
      </c>
      <c r="C11" s="32">
        <v>399</v>
      </c>
      <c r="D11" s="32">
        <v>531</v>
      </c>
      <c r="E11" s="33">
        <v>930</v>
      </c>
      <c r="F11" s="298">
        <v>1.2601626016260163</v>
      </c>
      <c r="G11" s="298">
        <v>75.141242937853107</v>
      </c>
      <c r="H11" s="298">
        <v>33.25</v>
      </c>
      <c r="I11" s="298">
        <v>44.25</v>
      </c>
      <c r="J11" s="298">
        <v>452.1</v>
      </c>
    </row>
    <row r="12" spans="1:10" ht="18">
      <c r="A12" s="48">
        <v>2020</v>
      </c>
      <c r="B12" s="48">
        <v>655</v>
      </c>
      <c r="C12" s="48">
        <v>289</v>
      </c>
      <c r="D12" s="48">
        <v>285</v>
      </c>
      <c r="E12" s="49">
        <v>574</v>
      </c>
      <c r="F12" s="299">
        <v>0.87633587786259537</v>
      </c>
      <c r="G12" s="299">
        <v>101.40350877192984</v>
      </c>
      <c r="H12" s="299">
        <v>24.083333333333332</v>
      </c>
      <c r="I12" s="299">
        <v>23.75</v>
      </c>
      <c r="J12" s="299">
        <v>317.5</v>
      </c>
    </row>
  </sheetData>
  <mergeCells count="8">
    <mergeCell ref="J6:J7"/>
    <mergeCell ref="A5:A7"/>
    <mergeCell ref="F6:F7"/>
    <mergeCell ref="C5:E5"/>
    <mergeCell ref="B5:B6"/>
    <mergeCell ref="I6:I7"/>
    <mergeCell ref="G6:G7"/>
    <mergeCell ref="H6:H7"/>
  </mergeCells>
  <hyperlinks>
    <hyperlink ref="A1" location="'فهرس - Index'!A1" tooltip="#'فهرس - Index'!A1 - Click once to follow. Click and hold to select this cell." display="عودة للفهرس-return to Index" xr:uid="{C5C27C54-6E18-4D4E-A7B8-69FB5BE9CC1C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3"/>
  <sheetViews>
    <sheetView rightToLeft="1" workbookViewId="0">
      <selection activeCell="G18" sqref="G18"/>
    </sheetView>
  </sheetViews>
  <sheetFormatPr defaultColWidth="8.85546875" defaultRowHeight="16.5"/>
  <cols>
    <col min="1" max="1" width="15.42578125" style="3" customWidth="1"/>
    <col min="2" max="2" width="24.140625" style="3" customWidth="1"/>
    <col min="3" max="3" width="24.5703125" style="3" customWidth="1"/>
    <col min="4" max="4" width="25.7109375" style="3" customWidth="1"/>
    <col min="5" max="5" width="11" style="3" customWidth="1"/>
    <col min="6" max="6" width="20.140625" style="3" customWidth="1"/>
    <col min="7" max="7" width="25.7109375" style="3" customWidth="1"/>
    <col min="8" max="8" width="13.140625" style="3" customWidth="1"/>
    <col min="9" max="9" width="17.28515625" style="3" customWidth="1"/>
    <col min="10" max="16384" width="8.85546875" style="3"/>
  </cols>
  <sheetData>
    <row r="1" spans="1:9">
      <c r="A1" s="163" t="s">
        <v>23</v>
      </c>
    </row>
    <row r="2" spans="1:9" s="2" customFormat="1" ht="18">
      <c r="A2" s="2" t="s">
        <v>459</v>
      </c>
    </row>
    <row r="3" spans="1:9" s="2" customFormat="1" ht="18">
      <c r="I3" s="2" t="s">
        <v>487</v>
      </c>
    </row>
    <row r="4" spans="1:9" s="2" customFormat="1" ht="18">
      <c r="A4" s="2" t="s">
        <v>344</v>
      </c>
      <c r="I4" s="2" t="s">
        <v>345</v>
      </c>
    </row>
    <row r="5" spans="1:9" s="2" customFormat="1" ht="16.149999999999999" customHeight="1">
      <c r="A5" s="368" t="s">
        <v>346</v>
      </c>
      <c r="B5" s="24" t="s">
        <v>320</v>
      </c>
      <c r="C5" s="24" t="s">
        <v>321</v>
      </c>
      <c r="D5" s="24" t="s">
        <v>726</v>
      </c>
      <c r="E5" s="24" t="s">
        <v>727</v>
      </c>
      <c r="F5" s="24" t="s">
        <v>322</v>
      </c>
      <c r="G5" s="24" t="s">
        <v>323</v>
      </c>
      <c r="H5" s="234" t="s">
        <v>727</v>
      </c>
      <c r="I5" s="369" t="s">
        <v>347</v>
      </c>
    </row>
    <row r="6" spans="1:9" s="2" customFormat="1" ht="42.75" customHeight="1">
      <c r="A6" s="347"/>
      <c r="B6" s="25" t="s">
        <v>324</v>
      </c>
      <c r="C6" s="25" t="s">
        <v>325</v>
      </c>
      <c r="D6" s="25" t="s">
        <v>728</v>
      </c>
      <c r="E6" s="25" t="s">
        <v>80</v>
      </c>
      <c r="F6" s="1" t="s">
        <v>326</v>
      </c>
      <c r="G6" s="25" t="s">
        <v>327</v>
      </c>
      <c r="H6" s="25" t="s">
        <v>80</v>
      </c>
      <c r="I6" s="364"/>
    </row>
    <row r="7" spans="1:9" s="2" customFormat="1" ht="18">
      <c r="A7" s="45" t="s">
        <v>85</v>
      </c>
      <c r="B7" s="289">
        <f t="shared" ref="B7:H7" si="0">SUM(B8:B13)</f>
        <v>53</v>
      </c>
      <c r="C7" s="290">
        <f t="shared" si="0"/>
        <v>107</v>
      </c>
      <c r="D7" s="290">
        <f t="shared" si="0"/>
        <v>60</v>
      </c>
      <c r="E7" s="291">
        <f t="shared" si="0"/>
        <v>220</v>
      </c>
      <c r="F7" s="290">
        <f t="shared" si="0"/>
        <v>1022</v>
      </c>
      <c r="G7" s="290">
        <f t="shared" si="0"/>
        <v>228</v>
      </c>
      <c r="H7" s="291">
        <f t="shared" si="0"/>
        <v>1250</v>
      </c>
      <c r="I7" s="45" t="s">
        <v>80</v>
      </c>
    </row>
    <row r="8" spans="1:9" ht="18">
      <c r="A8" s="28" t="s">
        <v>245</v>
      </c>
      <c r="B8" s="294">
        <v>12</v>
      </c>
      <c r="C8" s="295">
        <v>15</v>
      </c>
      <c r="D8" s="295">
        <v>13</v>
      </c>
      <c r="E8" s="292">
        <f>D8+C8+B8</f>
        <v>40</v>
      </c>
      <c r="F8" s="295">
        <v>229</v>
      </c>
      <c r="G8" s="295">
        <v>55</v>
      </c>
      <c r="H8" s="292">
        <f>G8+F8</f>
        <v>284</v>
      </c>
      <c r="I8" s="28" t="s">
        <v>348</v>
      </c>
    </row>
    <row r="9" spans="1:9" ht="18">
      <c r="A9" s="31" t="s">
        <v>730</v>
      </c>
      <c r="B9" s="294">
        <v>12</v>
      </c>
      <c r="C9" s="295">
        <v>12</v>
      </c>
      <c r="D9" s="295">
        <v>7</v>
      </c>
      <c r="E9" s="292">
        <f t="shared" ref="E9:E13" si="1">D9+C9+B9</f>
        <v>31</v>
      </c>
      <c r="F9" s="295">
        <v>102</v>
      </c>
      <c r="G9" s="295">
        <v>22</v>
      </c>
      <c r="H9" s="292">
        <f t="shared" ref="H9:H13" si="2">G9+F9</f>
        <v>124</v>
      </c>
      <c r="I9" s="31" t="s">
        <v>349</v>
      </c>
    </row>
    <row r="10" spans="1:9" ht="18">
      <c r="A10" s="31" t="s">
        <v>350</v>
      </c>
      <c r="B10" s="294">
        <v>5</v>
      </c>
      <c r="C10" s="295">
        <v>21</v>
      </c>
      <c r="D10" s="295">
        <v>8</v>
      </c>
      <c r="E10" s="292">
        <f t="shared" si="1"/>
        <v>34</v>
      </c>
      <c r="F10" s="295">
        <v>93</v>
      </c>
      <c r="G10" s="295">
        <v>27</v>
      </c>
      <c r="H10" s="292">
        <f t="shared" si="2"/>
        <v>120</v>
      </c>
      <c r="I10" s="31" t="s">
        <v>351</v>
      </c>
    </row>
    <row r="11" spans="1:9" ht="18">
      <c r="A11" s="31" t="s">
        <v>731</v>
      </c>
      <c r="B11" s="294">
        <v>12</v>
      </c>
      <c r="C11" s="295">
        <v>16</v>
      </c>
      <c r="D11" s="295">
        <v>6</v>
      </c>
      <c r="E11" s="292">
        <f t="shared" si="1"/>
        <v>34</v>
      </c>
      <c r="F11" s="295">
        <v>222</v>
      </c>
      <c r="G11" s="295">
        <v>68</v>
      </c>
      <c r="H11" s="292">
        <f t="shared" si="2"/>
        <v>290</v>
      </c>
      <c r="I11" s="31" t="s">
        <v>352</v>
      </c>
    </row>
    <row r="12" spans="1:9" ht="18">
      <c r="A12" s="31" t="s">
        <v>353</v>
      </c>
      <c r="B12" s="294">
        <v>6</v>
      </c>
      <c r="C12" s="295">
        <v>26</v>
      </c>
      <c r="D12" s="295">
        <v>17</v>
      </c>
      <c r="E12" s="292">
        <f t="shared" si="1"/>
        <v>49</v>
      </c>
      <c r="F12" s="295">
        <v>302</v>
      </c>
      <c r="G12" s="295">
        <v>48</v>
      </c>
      <c r="H12" s="292">
        <f t="shared" si="2"/>
        <v>350</v>
      </c>
      <c r="I12" s="31" t="s">
        <v>354</v>
      </c>
    </row>
    <row r="13" spans="1:9" ht="18">
      <c r="A13" s="47" t="s">
        <v>732</v>
      </c>
      <c r="B13" s="296">
        <v>6</v>
      </c>
      <c r="C13" s="277">
        <v>17</v>
      </c>
      <c r="D13" s="277">
        <v>9</v>
      </c>
      <c r="E13" s="293">
        <f t="shared" si="1"/>
        <v>32</v>
      </c>
      <c r="F13" s="277">
        <v>74</v>
      </c>
      <c r="G13" s="277">
        <v>8</v>
      </c>
      <c r="H13" s="293">
        <f t="shared" si="2"/>
        <v>82</v>
      </c>
      <c r="I13" s="47" t="s">
        <v>355</v>
      </c>
    </row>
  </sheetData>
  <mergeCells count="2">
    <mergeCell ref="A5:A6"/>
    <mergeCell ref="I5:I6"/>
  </mergeCells>
  <hyperlinks>
    <hyperlink ref="A1" location="'فهرس - Index'!A1" tooltip="#'فهرس - Index'!A1 - Click once to follow. Click and hold to select this cell." display="عودة للفهرس-return to Index" xr:uid="{D50DD20E-A991-4B73-A45B-0618C5EB3085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4"/>
  <sheetViews>
    <sheetView rightToLeft="1" workbookViewId="0">
      <selection activeCell="E20" sqref="E20"/>
    </sheetView>
  </sheetViews>
  <sheetFormatPr defaultColWidth="8.85546875" defaultRowHeight="16.5"/>
  <cols>
    <col min="1" max="1" width="8.85546875" style="3"/>
    <col min="2" max="2" width="24.140625" style="3" customWidth="1"/>
    <col min="3" max="6" width="17.85546875" style="3" customWidth="1"/>
    <col min="7" max="7" width="21.5703125" style="3" customWidth="1"/>
    <col min="8" max="8" width="9.85546875" style="3" customWidth="1"/>
    <col min="9" max="16384" width="8.85546875" style="3"/>
  </cols>
  <sheetData>
    <row r="1" spans="1:8" s="2" customFormat="1" ht="18">
      <c r="A1" s="399" t="s">
        <v>23</v>
      </c>
      <c r="B1" s="399"/>
    </row>
    <row r="2" spans="1:8" s="2" customFormat="1" ht="18">
      <c r="A2" s="2" t="s">
        <v>460</v>
      </c>
    </row>
    <row r="3" spans="1:8" s="2" customFormat="1" ht="17.45" customHeight="1">
      <c r="H3" s="2" t="s">
        <v>488</v>
      </c>
    </row>
    <row r="4" spans="1:8" s="2" customFormat="1" ht="17.45" customHeight="1">
      <c r="A4" s="2" t="s">
        <v>356</v>
      </c>
      <c r="H4" s="2" t="s">
        <v>357</v>
      </c>
    </row>
    <row r="5" spans="1:8" s="2" customFormat="1" ht="35.25" customHeight="1">
      <c r="A5" s="408" t="s">
        <v>358</v>
      </c>
      <c r="B5" s="411"/>
      <c r="C5" s="368" t="s">
        <v>359</v>
      </c>
      <c r="D5" s="350"/>
      <c r="E5" s="24" t="s">
        <v>312</v>
      </c>
      <c r="F5" s="24" t="s">
        <v>313</v>
      </c>
      <c r="G5" s="407" t="s">
        <v>360</v>
      </c>
      <c r="H5" s="408"/>
    </row>
    <row r="6" spans="1:8" s="2" customFormat="1" ht="18">
      <c r="A6" s="408"/>
      <c r="B6" s="411"/>
      <c r="C6" s="43" t="s">
        <v>361</v>
      </c>
      <c r="D6" s="24" t="s">
        <v>362</v>
      </c>
      <c r="E6" s="400" t="s">
        <v>365</v>
      </c>
      <c r="F6" s="400" t="s">
        <v>366</v>
      </c>
      <c r="G6" s="407"/>
      <c r="H6" s="408"/>
    </row>
    <row r="7" spans="1:8" s="2" customFormat="1" ht="18">
      <c r="A7" s="408"/>
      <c r="B7" s="411"/>
      <c r="C7" s="44" t="s">
        <v>363</v>
      </c>
      <c r="D7" s="25" t="s">
        <v>364</v>
      </c>
      <c r="E7" s="375"/>
      <c r="F7" s="375"/>
      <c r="G7" s="409"/>
      <c r="H7" s="410"/>
    </row>
    <row r="8" spans="1:8" s="2" customFormat="1" ht="18">
      <c r="A8" s="405" t="s">
        <v>735</v>
      </c>
      <c r="B8" s="314" t="s">
        <v>85</v>
      </c>
      <c r="C8" s="46">
        <v>180</v>
      </c>
      <c r="D8" s="46">
        <v>40</v>
      </c>
      <c r="E8" s="46">
        <v>57</v>
      </c>
      <c r="F8" s="46">
        <v>104</v>
      </c>
      <c r="G8" s="314" t="s">
        <v>150</v>
      </c>
      <c r="H8" s="401" t="s">
        <v>734</v>
      </c>
    </row>
    <row r="9" spans="1:8" ht="18" customHeight="1">
      <c r="A9" s="405"/>
      <c r="B9" s="307" t="s">
        <v>320</v>
      </c>
      <c r="C9" s="29">
        <v>51</v>
      </c>
      <c r="D9" s="308">
        <v>2</v>
      </c>
      <c r="E9" s="308">
        <v>7</v>
      </c>
      <c r="F9" s="308">
        <v>73</v>
      </c>
      <c r="G9" s="287" t="s">
        <v>324</v>
      </c>
      <c r="H9" s="402"/>
    </row>
    <row r="10" spans="1:8">
      <c r="A10" s="405"/>
      <c r="B10" s="309" t="s">
        <v>321</v>
      </c>
      <c r="C10" s="32">
        <v>90</v>
      </c>
      <c r="D10" s="310">
        <v>17</v>
      </c>
      <c r="E10" s="310">
        <v>23</v>
      </c>
      <c r="F10" s="310">
        <v>17</v>
      </c>
      <c r="G10" s="287" t="s">
        <v>325</v>
      </c>
      <c r="H10" s="402"/>
    </row>
    <row r="11" spans="1:8" ht="42.75" customHeight="1">
      <c r="A11" s="406"/>
      <c r="B11" s="309" t="s">
        <v>726</v>
      </c>
      <c r="C11" s="32">
        <v>39</v>
      </c>
      <c r="D11" s="310">
        <v>21</v>
      </c>
      <c r="E11" s="310">
        <v>27</v>
      </c>
      <c r="F11" s="310">
        <v>14</v>
      </c>
      <c r="G11" s="311" t="s">
        <v>728</v>
      </c>
      <c r="H11" s="403"/>
    </row>
    <row r="12" spans="1:8" ht="18">
      <c r="A12" s="404" t="s">
        <v>736</v>
      </c>
      <c r="B12" s="300" t="s">
        <v>737</v>
      </c>
      <c r="C12" s="301">
        <v>538</v>
      </c>
      <c r="D12" s="302">
        <v>712</v>
      </c>
      <c r="E12" s="302">
        <v>732</v>
      </c>
      <c r="F12" s="302">
        <v>549</v>
      </c>
      <c r="G12" s="303" t="s">
        <v>80</v>
      </c>
      <c r="H12" s="401" t="s">
        <v>326</v>
      </c>
    </row>
    <row r="13" spans="1:8" ht="27.75" customHeight="1">
      <c r="A13" s="405"/>
      <c r="B13" s="309" t="s">
        <v>322</v>
      </c>
      <c r="C13" s="32">
        <v>315</v>
      </c>
      <c r="D13" s="310">
        <v>707</v>
      </c>
      <c r="E13" s="310">
        <v>727</v>
      </c>
      <c r="F13" s="310">
        <v>324</v>
      </c>
      <c r="G13" s="287" t="s">
        <v>326</v>
      </c>
      <c r="H13" s="402"/>
    </row>
    <row r="14" spans="1:8" ht="39.75" customHeight="1">
      <c r="A14" s="406"/>
      <c r="B14" s="312" t="s">
        <v>323</v>
      </c>
      <c r="C14" s="48">
        <v>223</v>
      </c>
      <c r="D14" s="313">
        <v>5</v>
      </c>
      <c r="E14" s="313">
        <v>5</v>
      </c>
      <c r="F14" s="313">
        <v>225</v>
      </c>
      <c r="G14" s="288" t="s">
        <v>327</v>
      </c>
      <c r="H14" s="403"/>
    </row>
  </sheetData>
  <mergeCells count="10">
    <mergeCell ref="A1:B1"/>
    <mergeCell ref="F6:F7"/>
    <mergeCell ref="H8:H11"/>
    <mergeCell ref="A12:A14"/>
    <mergeCell ref="H12:H14"/>
    <mergeCell ref="G5:H7"/>
    <mergeCell ref="A5:B7"/>
    <mergeCell ref="A8:A11"/>
    <mergeCell ref="E6:E7"/>
    <mergeCell ref="C5:D5"/>
  </mergeCells>
  <hyperlinks>
    <hyperlink ref="A1" location="'فهرس - Index'!A1" tooltip="#'فهرس - Index'!A1 - Click once to follow. Click and hold to select this cell." display="عودة للفهرس-return to Index" xr:uid="{F201CBA8-9608-4B12-8AD3-5F2D781C3D85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E25"/>
  <sheetViews>
    <sheetView rightToLeft="1" workbookViewId="0">
      <selection activeCell="D30" sqref="D30"/>
    </sheetView>
  </sheetViews>
  <sheetFormatPr defaultColWidth="8.85546875" defaultRowHeight="16.5"/>
  <cols>
    <col min="1" max="1" width="21.7109375" style="3" customWidth="1"/>
    <col min="2" max="2" width="16.140625" style="3" customWidth="1"/>
    <col min="3" max="3" width="9.42578125" style="3" customWidth="1"/>
    <col min="4" max="17" width="8.28515625" style="3" customWidth="1"/>
    <col min="18" max="18" width="17" style="3" customWidth="1"/>
    <col min="19" max="19" width="12" style="3" customWidth="1"/>
    <col min="20" max="20" width="16.28515625" style="3" customWidth="1"/>
    <col min="21" max="21" width="8.85546875" style="3" customWidth="1"/>
    <col min="22" max="16384" width="8.85546875" style="3"/>
  </cols>
  <sheetData>
    <row r="1" spans="1:20">
      <c r="A1" s="163" t="s">
        <v>23</v>
      </c>
    </row>
    <row r="2" spans="1:20" s="2" customFormat="1" ht="18">
      <c r="A2" s="2" t="s">
        <v>461</v>
      </c>
      <c r="T2" s="2" t="s">
        <v>489</v>
      </c>
    </row>
    <row r="3" spans="1:20" s="2" customFormat="1" ht="18">
      <c r="A3" s="2" t="s">
        <v>367</v>
      </c>
      <c r="T3" s="2" t="s">
        <v>368</v>
      </c>
    </row>
    <row r="4" spans="1:20" s="2" customFormat="1" ht="15.6" customHeight="1">
      <c r="A4" s="369" t="s">
        <v>358</v>
      </c>
      <c r="B4" s="369" t="s">
        <v>369</v>
      </c>
      <c r="C4" s="355"/>
      <c r="D4" s="374" t="s">
        <v>245</v>
      </c>
      <c r="E4" s="355"/>
      <c r="F4" s="369" t="s">
        <v>743</v>
      </c>
      <c r="G4" s="349"/>
      <c r="H4" s="349"/>
      <c r="I4" s="349"/>
      <c r="J4" s="349"/>
      <c r="K4" s="350"/>
      <c r="L4" s="369" t="s">
        <v>744</v>
      </c>
      <c r="M4" s="349"/>
      <c r="N4" s="349"/>
      <c r="O4" s="350"/>
      <c r="P4" s="374" t="s">
        <v>85</v>
      </c>
      <c r="Q4" s="355"/>
      <c r="R4" s="369" t="s">
        <v>370</v>
      </c>
      <c r="S4" s="355"/>
      <c r="T4" s="369" t="s">
        <v>371</v>
      </c>
    </row>
    <row r="5" spans="1:20" s="2" customFormat="1" ht="43.5" customHeight="1">
      <c r="A5" s="358"/>
      <c r="B5" s="419"/>
      <c r="C5" s="346"/>
      <c r="D5" s="375" t="s">
        <v>372</v>
      </c>
      <c r="E5" s="347"/>
      <c r="F5" s="369" t="s">
        <v>373</v>
      </c>
      <c r="G5" s="350"/>
      <c r="H5" s="369" t="s">
        <v>374</v>
      </c>
      <c r="I5" s="350"/>
      <c r="J5" s="369" t="s">
        <v>375</v>
      </c>
      <c r="K5" s="350"/>
      <c r="L5" s="369" t="s">
        <v>376</v>
      </c>
      <c r="M5" s="350"/>
      <c r="N5" s="369" t="s">
        <v>377</v>
      </c>
      <c r="O5" s="350"/>
      <c r="P5" s="375" t="s">
        <v>150</v>
      </c>
      <c r="Q5" s="347"/>
      <c r="R5" s="419"/>
      <c r="S5" s="346"/>
      <c r="T5" s="358"/>
    </row>
    <row r="6" spans="1:20" s="2" customFormat="1" ht="74.25" customHeight="1">
      <c r="A6" s="364"/>
      <c r="B6" s="372"/>
      <c r="C6" s="347"/>
      <c r="D6" s="23" t="s">
        <v>378</v>
      </c>
      <c r="E6" s="23" t="s">
        <v>379</v>
      </c>
      <c r="F6" s="23" t="s">
        <v>378</v>
      </c>
      <c r="G6" s="23" t="s">
        <v>379</v>
      </c>
      <c r="H6" s="23" t="s">
        <v>378</v>
      </c>
      <c r="I6" s="23" t="s">
        <v>379</v>
      </c>
      <c r="J6" s="23" t="s">
        <v>378</v>
      </c>
      <c r="K6" s="23" t="s">
        <v>379</v>
      </c>
      <c r="L6" s="23" t="s">
        <v>378</v>
      </c>
      <c r="M6" s="23" t="s">
        <v>379</v>
      </c>
      <c r="N6" s="23" t="s">
        <v>378</v>
      </c>
      <c r="O6" s="23" t="s">
        <v>379</v>
      </c>
      <c r="P6" s="23" t="s">
        <v>378</v>
      </c>
      <c r="Q6" s="23" t="s">
        <v>379</v>
      </c>
      <c r="R6" s="372"/>
      <c r="S6" s="347"/>
      <c r="T6" s="364"/>
    </row>
    <row r="7" spans="1:20" ht="15.6" customHeight="1">
      <c r="A7" s="442" t="s">
        <v>320</v>
      </c>
      <c r="B7" s="438" t="s">
        <v>745</v>
      </c>
      <c r="C7" s="438"/>
      <c r="D7" s="322">
        <v>5</v>
      </c>
      <c r="E7" s="174">
        <v>0</v>
      </c>
      <c r="F7" s="323">
        <v>9</v>
      </c>
      <c r="G7" s="323">
        <v>0</v>
      </c>
      <c r="H7" s="323">
        <v>4</v>
      </c>
      <c r="I7" s="174">
        <v>0</v>
      </c>
      <c r="J7" s="323">
        <v>10</v>
      </c>
      <c r="K7" s="174">
        <v>0</v>
      </c>
      <c r="L7" s="323">
        <v>3</v>
      </c>
      <c r="M7" s="323">
        <v>0</v>
      </c>
      <c r="N7" s="323">
        <v>3</v>
      </c>
      <c r="O7" s="174">
        <v>0</v>
      </c>
      <c r="P7" s="315">
        <f>D7+F7+H7+J7+L7+N7</f>
        <v>34</v>
      </c>
      <c r="Q7" s="316">
        <f>E7+G7+I7+K7+M7+O7</f>
        <v>0</v>
      </c>
      <c r="R7" s="422" t="s">
        <v>381</v>
      </c>
      <c r="S7" s="423"/>
      <c r="T7" s="237" t="s">
        <v>324</v>
      </c>
    </row>
    <row r="8" spans="1:20" ht="18">
      <c r="A8" s="443"/>
      <c r="B8" s="418" t="s">
        <v>382</v>
      </c>
      <c r="C8" s="418"/>
      <c r="D8" s="175">
        <v>5</v>
      </c>
      <c r="E8" s="174">
        <v>0</v>
      </c>
      <c r="F8" s="174">
        <v>1</v>
      </c>
      <c r="G8" s="174">
        <v>0</v>
      </c>
      <c r="H8" s="174">
        <v>1</v>
      </c>
      <c r="I8" s="174">
        <v>0</v>
      </c>
      <c r="J8" s="174">
        <v>1</v>
      </c>
      <c r="K8" s="174">
        <v>0</v>
      </c>
      <c r="L8" s="174">
        <v>1</v>
      </c>
      <c r="M8" s="174">
        <v>0</v>
      </c>
      <c r="N8" s="174">
        <v>1</v>
      </c>
      <c r="O8" s="174">
        <v>0</v>
      </c>
      <c r="P8" s="317">
        <f t="shared" ref="P8:Q15" si="0">D8+F8+H8+J8+L8+N8</f>
        <v>10</v>
      </c>
      <c r="Q8" s="190">
        <f t="shared" si="0"/>
        <v>0</v>
      </c>
      <c r="R8" s="420" t="s">
        <v>383</v>
      </c>
      <c r="S8" s="421"/>
      <c r="T8" s="39"/>
    </row>
    <row r="9" spans="1:20" ht="18">
      <c r="A9" s="443"/>
      <c r="B9" s="418" t="s">
        <v>384</v>
      </c>
      <c r="C9" s="418"/>
      <c r="D9" s="175">
        <v>0</v>
      </c>
      <c r="E9" s="174">
        <v>0</v>
      </c>
      <c r="F9" s="174">
        <v>0</v>
      </c>
      <c r="G9" s="174">
        <v>1</v>
      </c>
      <c r="H9" s="174">
        <v>0</v>
      </c>
      <c r="I9" s="174">
        <v>0</v>
      </c>
      <c r="J9" s="174">
        <v>1</v>
      </c>
      <c r="K9" s="174">
        <v>0</v>
      </c>
      <c r="L9" s="174">
        <v>0</v>
      </c>
      <c r="M9" s="174">
        <v>1</v>
      </c>
      <c r="N9" s="174">
        <v>0</v>
      </c>
      <c r="O9" s="174">
        <v>0</v>
      </c>
      <c r="P9" s="317">
        <f t="shared" si="0"/>
        <v>1</v>
      </c>
      <c r="Q9" s="190">
        <f t="shared" si="0"/>
        <v>2</v>
      </c>
      <c r="R9" s="436" t="s">
        <v>385</v>
      </c>
      <c r="S9" s="437"/>
      <c r="T9" s="39"/>
    </row>
    <row r="10" spans="1:20" ht="15.6" customHeight="1">
      <c r="A10" s="443"/>
      <c r="B10" s="418" t="s">
        <v>746</v>
      </c>
      <c r="C10" s="418"/>
      <c r="D10" s="175">
        <v>0</v>
      </c>
      <c r="E10" s="174">
        <v>0</v>
      </c>
      <c r="F10" s="174">
        <v>0</v>
      </c>
      <c r="G10" s="174">
        <v>0</v>
      </c>
      <c r="H10" s="174">
        <v>0</v>
      </c>
      <c r="I10" s="174">
        <v>0</v>
      </c>
      <c r="J10" s="174">
        <v>0</v>
      </c>
      <c r="K10" s="174">
        <v>0</v>
      </c>
      <c r="L10" s="174">
        <v>0</v>
      </c>
      <c r="M10" s="174">
        <v>0</v>
      </c>
      <c r="N10" s="174">
        <v>0</v>
      </c>
      <c r="O10" s="174">
        <v>0</v>
      </c>
      <c r="P10" s="317">
        <f t="shared" si="0"/>
        <v>0</v>
      </c>
      <c r="Q10" s="190">
        <f t="shared" si="0"/>
        <v>0</v>
      </c>
      <c r="R10" s="420" t="s">
        <v>387</v>
      </c>
      <c r="S10" s="421"/>
      <c r="T10" s="39"/>
    </row>
    <row r="11" spans="1:20" ht="15.6" customHeight="1">
      <c r="A11" s="443"/>
      <c r="B11" s="418" t="s">
        <v>388</v>
      </c>
      <c r="C11" s="418"/>
      <c r="D11" s="175">
        <v>1</v>
      </c>
      <c r="E11" s="174">
        <v>0</v>
      </c>
      <c r="F11" s="174">
        <v>0</v>
      </c>
      <c r="G11" s="174">
        <v>0</v>
      </c>
      <c r="H11" s="174">
        <v>0</v>
      </c>
      <c r="I11" s="174">
        <v>0</v>
      </c>
      <c r="J11" s="174">
        <v>0</v>
      </c>
      <c r="K11" s="174">
        <v>0</v>
      </c>
      <c r="L11" s="174">
        <v>0</v>
      </c>
      <c r="M11" s="174">
        <v>0</v>
      </c>
      <c r="N11" s="174">
        <v>0</v>
      </c>
      <c r="O11" s="174">
        <v>0</v>
      </c>
      <c r="P11" s="317">
        <f t="shared" si="0"/>
        <v>1</v>
      </c>
      <c r="Q11" s="190">
        <f t="shared" si="0"/>
        <v>0</v>
      </c>
      <c r="R11" s="433" t="s">
        <v>389</v>
      </c>
      <c r="S11" s="434"/>
      <c r="T11" s="39"/>
    </row>
    <row r="12" spans="1:20" ht="15.6" customHeight="1">
      <c r="A12" s="443"/>
      <c r="B12" s="418" t="s">
        <v>747</v>
      </c>
      <c r="C12" s="418"/>
      <c r="D12" s="175">
        <v>1</v>
      </c>
      <c r="E12" s="174">
        <v>0</v>
      </c>
      <c r="F12" s="174">
        <v>0</v>
      </c>
      <c r="G12" s="174">
        <v>0</v>
      </c>
      <c r="H12" s="174">
        <v>0</v>
      </c>
      <c r="I12" s="174">
        <v>0</v>
      </c>
      <c r="J12" s="174">
        <v>0</v>
      </c>
      <c r="K12" s="174">
        <v>0</v>
      </c>
      <c r="L12" s="174">
        <v>0</v>
      </c>
      <c r="M12" s="174">
        <v>0</v>
      </c>
      <c r="N12" s="174">
        <v>0</v>
      </c>
      <c r="O12" s="174">
        <v>0</v>
      </c>
      <c r="P12" s="317">
        <f t="shared" si="0"/>
        <v>1</v>
      </c>
      <c r="Q12" s="190">
        <f t="shared" si="0"/>
        <v>0</v>
      </c>
      <c r="R12" s="420" t="s">
        <v>391</v>
      </c>
      <c r="S12" s="421"/>
      <c r="T12" s="39"/>
    </row>
    <row r="13" spans="1:20" ht="15.6" customHeight="1">
      <c r="A13" s="443"/>
      <c r="B13" s="418" t="s">
        <v>393</v>
      </c>
      <c r="C13" s="418"/>
      <c r="D13" s="175">
        <v>0</v>
      </c>
      <c r="E13" s="174">
        <v>0</v>
      </c>
      <c r="F13" s="174">
        <v>1</v>
      </c>
      <c r="G13" s="174">
        <v>0</v>
      </c>
      <c r="H13" s="174">
        <v>0</v>
      </c>
      <c r="I13" s="174">
        <v>0</v>
      </c>
      <c r="J13" s="174">
        <v>0</v>
      </c>
      <c r="K13" s="174">
        <v>0</v>
      </c>
      <c r="L13" s="174">
        <v>0</v>
      </c>
      <c r="M13" s="174">
        <v>0</v>
      </c>
      <c r="N13" s="174">
        <v>2</v>
      </c>
      <c r="O13" s="174">
        <v>0</v>
      </c>
      <c r="P13" s="317">
        <f t="shared" si="0"/>
        <v>3</v>
      </c>
      <c r="Q13" s="190">
        <f t="shared" si="0"/>
        <v>0</v>
      </c>
      <c r="R13" s="420" t="s">
        <v>394</v>
      </c>
      <c r="S13" s="421"/>
      <c r="T13" s="39"/>
    </row>
    <row r="14" spans="1:20" ht="18">
      <c r="A14" s="443"/>
      <c r="B14" s="418" t="s">
        <v>395</v>
      </c>
      <c r="C14" s="418"/>
      <c r="D14" s="175">
        <v>0</v>
      </c>
      <c r="E14" s="177">
        <v>0</v>
      </c>
      <c r="F14" s="174">
        <v>0</v>
      </c>
      <c r="G14" s="174">
        <v>0</v>
      </c>
      <c r="H14" s="174">
        <v>0</v>
      </c>
      <c r="I14" s="177">
        <v>0</v>
      </c>
      <c r="J14" s="174">
        <v>0</v>
      </c>
      <c r="K14" s="174">
        <v>0</v>
      </c>
      <c r="L14" s="174">
        <v>1</v>
      </c>
      <c r="M14" s="174">
        <v>0</v>
      </c>
      <c r="N14" s="174">
        <v>0</v>
      </c>
      <c r="O14" s="174">
        <v>0</v>
      </c>
      <c r="P14" s="317">
        <f t="shared" si="0"/>
        <v>1</v>
      </c>
      <c r="Q14" s="190">
        <f t="shared" si="0"/>
        <v>0</v>
      </c>
      <c r="R14" s="436" t="s">
        <v>396</v>
      </c>
      <c r="S14" s="437"/>
      <c r="T14" s="39"/>
    </row>
    <row r="15" spans="1:20" ht="18" customHeight="1">
      <c r="A15" s="449" t="s">
        <v>397</v>
      </c>
      <c r="B15" s="450"/>
      <c r="C15" s="451"/>
      <c r="D15" s="326">
        <f>SUM(D7:D14)</f>
        <v>12</v>
      </c>
      <c r="E15" s="177">
        <f t="shared" ref="E15:O15" si="1">SUM(E7:E14)</f>
        <v>0</v>
      </c>
      <c r="F15" s="327">
        <f t="shared" si="1"/>
        <v>11</v>
      </c>
      <c r="G15" s="327">
        <f t="shared" si="1"/>
        <v>1</v>
      </c>
      <c r="H15" s="327">
        <f t="shared" si="1"/>
        <v>5</v>
      </c>
      <c r="I15" s="177">
        <f t="shared" si="1"/>
        <v>0</v>
      </c>
      <c r="J15" s="327">
        <f t="shared" si="1"/>
        <v>12</v>
      </c>
      <c r="K15" s="327">
        <f t="shared" si="1"/>
        <v>0</v>
      </c>
      <c r="L15" s="327">
        <f t="shared" si="1"/>
        <v>5</v>
      </c>
      <c r="M15" s="327">
        <f t="shared" si="1"/>
        <v>1</v>
      </c>
      <c r="N15" s="327">
        <f t="shared" si="1"/>
        <v>6</v>
      </c>
      <c r="O15" s="327">
        <f t="shared" si="1"/>
        <v>0</v>
      </c>
      <c r="P15" s="318">
        <f t="shared" si="0"/>
        <v>51</v>
      </c>
      <c r="Q15" s="320">
        <f t="shared" si="0"/>
        <v>2</v>
      </c>
      <c r="R15" s="430" t="s">
        <v>398</v>
      </c>
      <c r="S15" s="431"/>
      <c r="T15" s="41"/>
    </row>
    <row r="16" spans="1:20" ht="15.6" customHeight="1">
      <c r="A16" s="328"/>
      <c r="B16" s="329" t="s">
        <v>738</v>
      </c>
      <c r="C16" s="330"/>
      <c r="D16" s="326">
        <v>10</v>
      </c>
      <c r="E16" s="327">
        <v>3</v>
      </c>
      <c r="F16" s="327">
        <v>5</v>
      </c>
      <c r="G16" s="327">
        <v>2</v>
      </c>
      <c r="H16" s="327">
        <v>6</v>
      </c>
      <c r="I16" s="327">
        <v>2</v>
      </c>
      <c r="J16" s="327">
        <v>4</v>
      </c>
      <c r="K16" s="327">
        <v>2</v>
      </c>
      <c r="L16" s="327">
        <v>9</v>
      </c>
      <c r="M16" s="327">
        <v>8</v>
      </c>
      <c r="N16" s="327">
        <v>5</v>
      </c>
      <c r="O16" s="327">
        <v>4</v>
      </c>
      <c r="P16" s="318">
        <f>N16+L16+J16+H16+F16+D16</f>
        <v>39</v>
      </c>
      <c r="Q16" s="320">
        <f>O16+M16+K16+I16+G16+E16</f>
        <v>21</v>
      </c>
      <c r="R16" s="428" t="s">
        <v>739</v>
      </c>
      <c r="S16" s="429"/>
      <c r="T16" s="39"/>
    </row>
    <row r="17" spans="1:31" s="306" customFormat="1" ht="15.6" customHeight="1">
      <c r="A17" s="442" t="s">
        <v>321</v>
      </c>
      <c r="B17" s="426" t="s">
        <v>380</v>
      </c>
      <c r="C17" s="427"/>
      <c r="D17" s="175">
        <v>0</v>
      </c>
      <c r="E17" s="174">
        <v>0</v>
      </c>
      <c r="F17" s="174">
        <v>0</v>
      </c>
      <c r="G17" s="174">
        <v>0</v>
      </c>
      <c r="H17" s="174">
        <v>2</v>
      </c>
      <c r="I17" s="174">
        <v>0</v>
      </c>
      <c r="J17" s="174">
        <v>0</v>
      </c>
      <c r="K17" s="174">
        <v>0</v>
      </c>
      <c r="L17" s="174">
        <v>0</v>
      </c>
      <c r="M17" s="174">
        <v>0</v>
      </c>
      <c r="N17" s="174">
        <v>0</v>
      </c>
      <c r="O17" s="174">
        <v>0</v>
      </c>
      <c r="P17" s="317">
        <f t="shared" ref="P17:Q25" si="2">D17+F17+H17+J17+L17+N17</f>
        <v>2</v>
      </c>
      <c r="Q17" s="190">
        <f t="shared" si="2"/>
        <v>0</v>
      </c>
      <c r="R17" s="435" t="s">
        <v>381</v>
      </c>
      <c r="S17" s="427"/>
      <c r="T17" s="305" t="s">
        <v>325</v>
      </c>
    </row>
    <row r="18" spans="1:31" ht="15.6" customHeight="1">
      <c r="A18" s="443"/>
      <c r="B18" s="418" t="s">
        <v>390</v>
      </c>
      <c r="C18" s="415"/>
      <c r="D18" s="175">
        <v>1</v>
      </c>
      <c r="E18" s="174">
        <v>0</v>
      </c>
      <c r="F18" s="174">
        <v>1</v>
      </c>
      <c r="G18" s="174">
        <v>0</v>
      </c>
      <c r="H18" s="174">
        <v>1</v>
      </c>
      <c r="I18" s="174">
        <v>0</v>
      </c>
      <c r="J18" s="174">
        <v>3</v>
      </c>
      <c r="K18" s="174">
        <v>0</v>
      </c>
      <c r="L18" s="174">
        <v>9</v>
      </c>
      <c r="M18" s="174">
        <v>0</v>
      </c>
      <c r="N18" s="174">
        <v>6</v>
      </c>
      <c r="O18" s="325">
        <v>0</v>
      </c>
      <c r="P18" s="317">
        <f t="shared" si="2"/>
        <v>21</v>
      </c>
      <c r="Q18" s="190">
        <f t="shared" si="2"/>
        <v>0</v>
      </c>
      <c r="R18" s="432" t="s">
        <v>391</v>
      </c>
      <c r="S18" s="415"/>
      <c r="T18" s="39"/>
    </row>
    <row r="19" spans="1:31" ht="15.6" customHeight="1">
      <c r="A19" s="443"/>
      <c r="B19" s="424" t="s">
        <v>399</v>
      </c>
      <c r="C19" s="415"/>
      <c r="D19" s="175">
        <v>12</v>
      </c>
      <c r="E19" s="174">
        <v>2</v>
      </c>
      <c r="F19" s="174">
        <v>8</v>
      </c>
      <c r="G19" s="174">
        <v>3</v>
      </c>
      <c r="H19" s="174">
        <v>14</v>
      </c>
      <c r="I19" s="174">
        <v>4</v>
      </c>
      <c r="J19" s="174">
        <v>11</v>
      </c>
      <c r="K19" s="174">
        <v>2</v>
      </c>
      <c r="L19" s="174">
        <v>12</v>
      </c>
      <c r="M19" s="174">
        <v>5</v>
      </c>
      <c r="N19" s="174">
        <v>10</v>
      </c>
      <c r="O19" s="325">
        <v>1</v>
      </c>
      <c r="P19" s="317">
        <f t="shared" si="2"/>
        <v>67</v>
      </c>
      <c r="Q19" s="190">
        <f t="shared" si="2"/>
        <v>17</v>
      </c>
      <c r="R19" s="414" t="s">
        <v>400</v>
      </c>
      <c r="S19" s="415"/>
      <c r="T19" s="39"/>
    </row>
    <row r="20" spans="1:31" ht="15.6" customHeight="1">
      <c r="A20" s="452" t="s">
        <v>401</v>
      </c>
      <c r="B20" s="453"/>
      <c r="C20" s="454"/>
      <c r="D20" s="326">
        <f t="shared" ref="D20:O20" si="3">SUM(D17:D19)</f>
        <v>13</v>
      </c>
      <c r="E20" s="327">
        <f t="shared" si="3"/>
        <v>2</v>
      </c>
      <c r="F20" s="327">
        <f t="shared" si="3"/>
        <v>9</v>
      </c>
      <c r="G20" s="327">
        <f t="shared" si="3"/>
        <v>3</v>
      </c>
      <c r="H20" s="327">
        <f t="shared" si="3"/>
        <v>17</v>
      </c>
      <c r="I20" s="327">
        <f t="shared" si="3"/>
        <v>4</v>
      </c>
      <c r="J20" s="327">
        <f t="shared" si="3"/>
        <v>14</v>
      </c>
      <c r="K20" s="327">
        <f t="shared" si="3"/>
        <v>2</v>
      </c>
      <c r="L20" s="327">
        <f t="shared" si="3"/>
        <v>21</v>
      </c>
      <c r="M20" s="327">
        <f t="shared" si="3"/>
        <v>5</v>
      </c>
      <c r="N20" s="327">
        <f t="shared" si="3"/>
        <v>16</v>
      </c>
      <c r="O20" s="327">
        <f t="shared" si="3"/>
        <v>1</v>
      </c>
      <c r="P20" s="318">
        <f>D20+F20+H20+J20+L20+N20</f>
        <v>90</v>
      </c>
      <c r="Q20" s="320">
        <f>E20+G20+I20+K20+M20+O20</f>
        <v>17</v>
      </c>
      <c r="R20" s="439" t="s">
        <v>398</v>
      </c>
      <c r="S20" s="440"/>
      <c r="T20" s="41"/>
    </row>
    <row r="21" spans="1:31" ht="15.6" customHeight="1">
      <c r="A21" s="444" t="s">
        <v>322</v>
      </c>
      <c r="B21" s="438" t="s">
        <v>402</v>
      </c>
      <c r="C21" s="417"/>
      <c r="D21" s="174">
        <v>15</v>
      </c>
      <c r="E21" s="174">
        <v>7</v>
      </c>
      <c r="F21" s="174">
        <v>16</v>
      </c>
      <c r="G21" s="174">
        <v>3</v>
      </c>
      <c r="H21" s="174">
        <v>4</v>
      </c>
      <c r="I21" s="174">
        <v>4</v>
      </c>
      <c r="J21" s="174">
        <v>41</v>
      </c>
      <c r="K21" s="174">
        <v>8</v>
      </c>
      <c r="L21" s="174">
        <v>37</v>
      </c>
      <c r="M21" s="174">
        <v>9</v>
      </c>
      <c r="N21" s="174">
        <v>4</v>
      </c>
      <c r="O21" s="174">
        <v>3</v>
      </c>
      <c r="P21" s="317">
        <f>N21+L21+J21+H21+F21+D21</f>
        <v>117</v>
      </c>
      <c r="Q21" s="316">
        <f t="shared" si="2"/>
        <v>34</v>
      </c>
      <c r="R21" s="416" t="s">
        <v>403</v>
      </c>
      <c r="S21" s="417"/>
      <c r="T21" s="152" t="s">
        <v>326</v>
      </c>
    </row>
    <row r="22" spans="1:31" ht="15.6" customHeight="1">
      <c r="A22" s="445"/>
      <c r="B22" s="418" t="s">
        <v>404</v>
      </c>
      <c r="C22" s="415"/>
      <c r="D22" s="174">
        <v>2</v>
      </c>
      <c r="E22" s="174">
        <v>16</v>
      </c>
      <c r="F22" s="174">
        <v>5</v>
      </c>
      <c r="G22" s="174">
        <v>7</v>
      </c>
      <c r="H22" s="174">
        <v>1</v>
      </c>
      <c r="I22" s="174">
        <v>5</v>
      </c>
      <c r="J22" s="174">
        <v>3</v>
      </c>
      <c r="K22" s="174">
        <v>10</v>
      </c>
      <c r="L22" s="174">
        <v>5</v>
      </c>
      <c r="M22" s="174">
        <v>51</v>
      </c>
      <c r="N22" s="174">
        <v>1</v>
      </c>
      <c r="O22" s="174">
        <v>6</v>
      </c>
      <c r="P22" s="317">
        <f>N22+L22+J22+H22+F22+D22</f>
        <v>17</v>
      </c>
      <c r="Q22" s="190">
        <f t="shared" si="2"/>
        <v>95</v>
      </c>
      <c r="R22" s="425" t="s">
        <v>405</v>
      </c>
      <c r="S22" s="415"/>
      <c r="T22" s="153"/>
    </row>
    <row r="23" spans="1:31" ht="15.6" customHeight="1">
      <c r="A23" s="445"/>
      <c r="B23" s="441" t="s">
        <v>406</v>
      </c>
      <c r="C23" s="415"/>
      <c r="D23" s="174">
        <v>44</v>
      </c>
      <c r="E23" s="174">
        <v>145</v>
      </c>
      <c r="F23" s="174">
        <v>23</v>
      </c>
      <c r="G23" s="174">
        <v>48</v>
      </c>
      <c r="H23" s="174">
        <v>19</v>
      </c>
      <c r="I23" s="174">
        <v>60</v>
      </c>
      <c r="J23" s="174">
        <v>48</v>
      </c>
      <c r="K23" s="174">
        <v>112</v>
      </c>
      <c r="L23" s="174">
        <v>38</v>
      </c>
      <c r="M23" s="174">
        <v>162</v>
      </c>
      <c r="N23" s="174">
        <v>9</v>
      </c>
      <c r="O23" s="174">
        <v>51</v>
      </c>
      <c r="P23" s="317">
        <f t="shared" si="2"/>
        <v>181</v>
      </c>
      <c r="Q23" s="191">
        <f t="shared" si="2"/>
        <v>578</v>
      </c>
      <c r="R23" s="425" t="s">
        <v>407</v>
      </c>
      <c r="S23" s="415"/>
      <c r="T23" s="31"/>
    </row>
    <row r="24" spans="1:31" ht="18">
      <c r="A24" s="446" t="s">
        <v>408</v>
      </c>
      <c r="B24" s="447"/>
      <c r="C24" s="448"/>
      <c r="D24" s="326">
        <f>SUM(D21:D23)</f>
        <v>61</v>
      </c>
      <c r="E24" s="327">
        <f t="shared" ref="E24:O24" si="4">SUM(E21:E23)</f>
        <v>168</v>
      </c>
      <c r="F24" s="327">
        <f t="shared" si="4"/>
        <v>44</v>
      </c>
      <c r="G24" s="327">
        <f t="shared" si="4"/>
        <v>58</v>
      </c>
      <c r="H24" s="327">
        <f t="shared" si="4"/>
        <v>24</v>
      </c>
      <c r="I24" s="327">
        <f t="shared" si="4"/>
        <v>69</v>
      </c>
      <c r="J24" s="327">
        <f t="shared" si="4"/>
        <v>92</v>
      </c>
      <c r="K24" s="327">
        <f t="shared" si="4"/>
        <v>130</v>
      </c>
      <c r="L24" s="327">
        <f t="shared" si="4"/>
        <v>80</v>
      </c>
      <c r="M24" s="327">
        <f t="shared" si="4"/>
        <v>222</v>
      </c>
      <c r="N24" s="327">
        <f t="shared" si="4"/>
        <v>14</v>
      </c>
      <c r="O24" s="327">
        <f t="shared" si="4"/>
        <v>60</v>
      </c>
      <c r="P24" s="318">
        <f>SUM(P21:P23)</f>
        <v>315</v>
      </c>
      <c r="Q24" s="320">
        <f>E24+G24+I24+K24+M24+O24</f>
        <v>707</v>
      </c>
      <c r="R24" s="425" t="s">
        <v>409</v>
      </c>
      <c r="S24" s="415"/>
      <c r="T24" s="31"/>
    </row>
    <row r="25" spans="1:31" s="245" customFormat="1" ht="16.5" customHeight="1">
      <c r="A25" s="446" t="s">
        <v>740</v>
      </c>
      <c r="B25" s="447"/>
      <c r="C25" s="448"/>
      <c r="D25" s="178">
        <v>55</v>
      </c>
      <c r="E25" s="177">
        <v>0</v>
      </c>
      <c r="F25" s="177">
        <v>22</v>
      </c>
      <c r="G25" s="177">
        <v>0</v>
      </c>
      <c r="H25" s="177">
        <v>27</v>
      </c>
      <c r="I25" s="177">
        <v>0</v>
      </c>
      <c r="J25" s="177">
        <v>67</v>
      </c>
      <c r="K25" s="177">
        <v>1</v>
      </c>
      <c r="L25" s="177">
        <v>44</v>
      </c>
      <c r="M25" s="177">
        <v>4</v>
      </c>
      <c r="N25" s="177">
        <v>8</v>
      </c>
      <c r="O25" s="331">
        <v>0</v>
      </c>
      <c r="P25" s="321">
        <f t="shared" si="2"/>
        <v>223</v>
      </c>
      <c r="Q25" s="191">
        <f t="shared" si="2"/>
        <v>5</v>
      </c>
      <c r="R25" s="412" t="s">
        <v>741</v>
      </c>
      <c r="S25" s="413"/>
      <c r="T25" s="245" t="s">
        <v>741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</sheetData>
  <mergeCells count="55">
    <mergeCell ref="A25:C25"/>
    <mergeCell ref="A15:C15"/>
    <mergeCell ref="A20:C20"/>
    <mergeCell ref="A24:C24"/>
    <mergeCell ref="A17:A19"/>
    <mergeCell ref="B23:C23"/>
    <mergeCell ref="A7:A14"/>
    <mergeCell ref="J5:K5"/>
    <mergeCell ref="L4:O4"/>
    <mergeCell ref="H5:I5"/>
    <mergeCell ref="A4:A6"/>
    <mergeCell ref="B14:C14"/>
    <mergeCell ref="A21:A23"/>
    <mergeCell ref="B22:C22"/>
    <mergeCell ref="B13:C13"/>
    <mergeCell ref="L5:M5"/>
    <mergeCell ref="N5:O5"/>
    <mergeCell ref="B7:C7"/>
    <mergeCell ref="B18:C18"/>
    <mergeCell ref="B21:C21"/>
    <mergeCell ref="R18:S18"/>
    <mergeCell ref="R11:S11"/>
    <mergeCell ref="R17:S17"/>
    <mergeCell ref="R13:S13"/>
    <mergeCell ref="R24:S24"/>
    <mergeCell ref="R14:S14"/>
    <mergeCell ref="R23:S23"/>
    <mergeCell ref="R20:S20"/>
    <mergeCell ref="B17:C17"/>
    <mergeCell ref="B11:C11"/>
    <mergeCell ref="B12:C12"/>
    <mergeCell ref="B4:C6"/>
    <mergeCell ref="R16:S16"/>
    <mergeCell ref="R15:S15"/>
    <mergeCell ref="R12:S12"/>
    <mergeCell ref="B10:C10"/>
    <mergeCell ref="F5:G5"/>
    <mergeCell ref="R10:S10"/>
    <mergeCell ref="R9:S9"/>
    <mergeCell ref="R25:S25"/>
    <mergeCell ref="R19:S19"/>
    <mergeCell ref="R21:S21"/>
    <mergeCell ref="T4:T6"/>
    <mergeCell ref="B9:C9"/>
    <mergeCell ref="P5:Q5"/>
    <mergeCell ref="D4:E4"/>
    <mergeCell ref="F4:K4"/>
    <mergeCell ref="B8:C8"/>
    <mergeCell ref="R4:S6"/>
    <mergeCell ref="P4:Q4"/>
    <mergeCell ref="R8:S8"/>
    <mergeCell ref="R7:S7"/>
    <mergeCell ref="B19:C19"/>
    <mergeCell ref="D5:E5"/>
    <mergeCell ref="R22:S22"/>
  </mergeCells>
  <hyperlinks>
    <hyperlink ref="A1" location="'فهرس - Index'!A1" tooltip="#'فهرس - Index'!A1 - Click once to follow. Click and hold to select this cell." display="عودة للفهرس-return to Index" xr:uid="{8AB858B3-566B-447E-B910-84DE2B57BF79}"/>
  </hyperlinks>
  <pageMargins left="0.7" right="0.7" top="0.75" bottom="0.75" header="0.3" footer="0.3"/>
  <ignoredErrors>
    <ignoredError sqref="D17:Q20 D16:O16" formulaRange="1"/>
    <ignoredError sqref="P16:Q16" formula="1" formulaRange="1"/>
    <ignoredError sqref="P24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5"/>
  <sheetViews>
    <sheetView rightToLeft="1" workbookViewId="0">
      <selection activeCell="E2" sqref="E2"/>
    </sheetView>
  </sheetViews>
  <sheetFormatPr defaultColWidth="8.85546875" defaultRowHeight="16.5"/>
  <cols>
    <col min="1" max="1" width="23" style="3" customWidth="1"/>
    <col min="2" max="2" width="8.85546875" style="3" customWidth="1"/>
    <col min="3" max="3" width="21.7109375" style="3" customWidth="1"/>
    <col min="4" max="8" width="13.5703125" style="3" customWidth="1"/>
    <col min="9" max="9" width="28.28515625" style="3" customWidth="1"/>
    <col min="10" max="10" width="16.7109375" style="3" customWidth="1"/>
    <col min="11" max="11" width="29.85546875" style="3" customWidth="1"/>
    <col min="12" max="12" width="8.85546875" style="3" customWidth="1"/>
    <col min="13" max="16384" width="8.85546875" style="3"/>
  </cols>
  <sheetData>
    <row r="1" spans="1:11">
      <c r="A1" s="163" t="s">
        <v>23</v>
      </c>
    </row>
    <row r="2" spans="1:11" ht="18">
      <c r="A2" s="2" t="s">
        <v>460</v>
      </c>
      <c r="B2" s="2"/>
      <c r="C2" s="2"/>
      <c r="D2" s="2"/>
      <c r="E2" s="2"/>
      <c r="F2" s="2"/>
      <c r="G2" s="2"/>
      <c r="H2" s="2"/>
      <c r="I2" s="2"/>
      <c r="J2" s="2"/>
      <c r="K2" s="2" t="s">
        <v>488</v>
      </c>
    </row>
    <row r="3" spans="1:11" ht="18">
      <c r="A3" s="2" t="s">
        <v>411</v>
      </c>
      <c r="B3" s="2"/>
      <c r="C3" s="2"/>
      <c r="D3" s="2"/>
      <c r="E3" s="2"/>
      <c r="F3" s="2"/>
      <c r="G3" s="2"/>
      <c r="H3" s="2"/>
      <c r="I3" s="2"/>
      <c r="J3" s="2"/>
      <c r="K3" s="2" t="s">
        <v>412</v>
      </c>
    </row>
    <row r="4" spans="1:11" ht="36" customHeight="1">
      <c r="A4" s="369" t="s">
        <v>358</v>
      </c>
      <c r="B4" s="369" t="s">
        <v>369</v>
      </c>
      <c r="C4" s="355"/>
      <c r="D4" s="369" t="s">
        <v>359</v>
      </c>
      <c r="E4" s="349"/>
      <c r="F4" s="350"/>
      <c r="G4" s="24" t="s">
        <v>337</v>
      </c>
      <c r="H4" s="24" t="s">
        <v>338</v>
      </c>
      <c r="I4" s="369" t="s">
        <v>370</v>
      </c>
      <c r="J4" s="355"/>
      <c r="K4" s="369" t="s">
        <v>371</v>
      </c>
    </row>
    <row r="5" spans="1:11" ht="18">
      <c r="A5" s="358"/>
      <c r="B5" s="419"/>
      <c r="C5" s="346"/>
      <c r="D5" s="24" t="s">
        <v>361</v>
      </c>
      <c r="E5" s="24" t="s">
        <v>362</v>
      </c>
      <c r="F5" s="24" t="s">
        <v>339</v>
      </c>
      <c r="G5" s="400" t="s">
        <v>413</v>
      </c>
      <c r="H5" s="400" t="s">
        <v>317</v>
      </c>
      <c r="I5" s="419"/>
      <c r="J5" s="346"/>
      <c r="K5" s="358"/>
    </row>
    <row r="6" spans="1:11" ht="18">
      <c r="A6" s="364"/>
      <c r="B6" s="372"/>
      <c r="C6" s="347"/>
      <c r="D6" s="25" t="s">
        <v>363</v>
      </c>
      <c r="E6" s="25" t="s">
        <v>364</v>
      </c>
      <c r="F6" s="25" t="s">
        <v>150</v>
      </c>
      <c r="G6" s="375"/>
      <c r="H6" s="375"/>
      <c r="I6" s="372"/>
      <c r="J6" s="347"/>
      <c r="K6" s="364"/>
    </row>
    <row r="7" spans="1:11" ht="18">
      <c r="A7" s="469" t="s">
        <v>320</v>
      </c>
      <c r="B7" s="462" t="s">
        <v>380</v>
      </c>
      <c r="C7" s="355"/>
      <c r="D7" s="322">
        <v>34</v>
      </c>
      <c r="E7" s="323">
        <v>0</v>
      </c>
      <c r="F7" s="35">
        <f>SUM(D7:E7)</f>
        <v>34</v>
      </c>
      <c r="G7" s="323">
        <v>0</v>
      </c>
      <c r="H7" s="323">
        <v>0</v>
      </c>
      <c r="I7" s="462" t="s">
        <v>381</v>
      </c>
      <c r="J7" s="355"/>
      <c r="K7" s="471" t="s">
        <v>324</v>
      </c>
    </row>
    <row r="8" spans="1:11" ht="18">
      <c r="A8" s="470"/>
      <c r="B8" s="457" t="s">
        <v>382</v>
      </c>
      <c r="C8" s="346"/>
      <c r="D8" s="175">
        <v>10</v>
      </c>
      <c r="E8" s="174">
        <v>0</v>
      </c>
      <c r="F8" s="38">
        <f t="shared" ref="F8:F14" si="0">SUM(D8:E8)</f>
        <v>10</v>
      </c>
      <c r="G8" s="174">
        <v>0</v>
      </c>
      <c r="H8" s="174">
        <v>0</v>
      </c>
      <c r="I8" s="457" t="s">
        <v>383</v>
      </c>
      <c r="J8" s="346"/>
      <c r="K8" s="472"/>
    </row>
    <row r="9" spans="1:11" ht="18">
      <c r="A9" s="470"/>
      <c r="B9" s="457" t="s">
        <v>384</v>
      </c>
      <c r="C9" s="346"/>
      <c r="D9" s="175">
        <v>1</v>
      </c>
      <c r="E9" s="174">
        <v>2</v>
      </c>
      <c r="F9" s="38">
        <f t="shared" si="0"/>
        <v>3</v>
      </c>
      <c r="G9" s="174">
        <v>7</v>
      </c>
      <c r="H9" s="174">
        <v>73</v>
      </c>
      <c r="I9" s="457" t="s">
        <v>385</v>
      </c>
      <c r="J9" s="346"/>
      <c r="K9" s="472"/>
    </row>
    <row r="10" spans="1:11" ht="18">
      <c r="A10" s="470"/>
      <c r="B10" s="457" t="s">
        <v>386</v>
      </c>
      <c r="C10" s="346"/>
      <c r="D10" s="175">
        <v>0</v>
      </c>
      <c r="E10" s="174">
        <v>0</v>
      </c>
      <c r="F10" s="38">
        <f t="shared" si="0"/>
        <v>0</v>
      </c>
      <c r="G10" s="174">
        <v>0</v>
      </c>
      <c r="H10" s="174">
        <v>0</v>
      </c>
      <c r="I10" s="457" t="s">
        <v>387</v>
      </c>
      <c r="J10" s="346"/>
      <c r="K10" s="472"/>
    </row>
    <row r="11" spans="1:11" ht="15.6" customHeight="1">
      <c r="A11" s="470"/>
      <c r="B11" s="457" t="s">
        <v>388</v>
      </c>
      <c r="C11" s="346"/>
      <c r="D11" s="175">
        <v>1</v>
      </c>
      <c r="E11" s="174">
        <v>0</v>
      </c>
      <c r="F11" s="38">
        <f t="shared" si="0"/>
        <v>1</v>
      </c>
      <c r="G11" s="174">
        <v>0</v>
      </c>
      <c r="H11" s="174">
        <v>0</v>
      </c>
      <c r="I11" s="457" t="s">
        <v>389</v>
      </c>
      <c r="J11" s="346"/>
      <c r="K11" s="472"/>
    </row>
    <row r="12" spans="1:11" ht="18">
      <c r="A12" s="470"/>
      <c r="B12" s="457" t="s">
        <v>390</v>
      </c>
      <c r="C12" s="346"/>
      <c r="D12" s="175">
        <v>1</v>
      </c>
      <c r="E12" s="174">
        <v>0</v>
      </c>
      <c r="F12" s="38">
        <f t="shared" si="0"/>
        <v>1</v>
      </c>
      <c r="G12" s="174">
        <v>0</v>
      </c>
      <c r="H12" s="174">
        <v>0</v>
      </c>
      <c r="I12" s="457" t="s">
        <v>391</v>
      </c>
      <c r="J12" s="346"/>
      <c r="K12" s="472"/>
    </row>
    <row r="13" spans="1:11" ht="18">
      <c r="A13" s="470"/>
      <c r="B13" s="457" t="s">
        <v>393</v>
      </c>
      <c r="C13" s="346"/>
      <c r="D13" s="175">
        <v>3</v>
      </c>
      <c r="E13" s="174">
        <v>0</v>
      </c>
      <c r="F13" s="38">
        <f t="shared" si="0"/>
        <v>3</v>
      </c>
      <c r="G13" s="174">
        <v>0</v>
      </c>
      <c r="H13" s="174">
        <v>0</v>
      </c>
      <c r="I13" s="457" t="s">
        <v>394</v>
      </c>
      <c r="J13" s="346"/>
      <c r="K13" s="472"/>
    </row>
    <row r="14" spans="1:11" ht="18">
      <c r="A14" s="470"/>
      <c r="B14" s="457" t="s">
        <v>395</v>
      </c>
      <c r="C14" s="346"/>
      <c r="D14" s="175">
        <v>1</v>
      </c>
      <c r="E14" s="174">
        <v>0</v>
      </c>
      <c r="F14" s="40">
        <f t="shared" si="0"/>
        <v>1</v>
      </c>
      <c r="G14" s="174">
        <v>0</v>
      </c>
      <c r="H14" s="174">
        <v>0</v>
      </c>
      <c r="I14" s="457" t="s">
        <v>396</v>
      </c>
      <c r="J14" s="346"/>
      <c r="K14" s="472"/>
    </row>
    <row r="15" spans="1:11" s="2" customFormat="1" ht="18">
      <c r="A15" s="235"/>
      <c r="B15" s="466" t="s">
        <v>397</v>
      </c>
      <c r="C15" s="467"/>
      <c r="D15" s="318">
        <f>SUM(D7:D14)</f>
        <v>51</v>
      </c>
      <c r="E15" s="319">
        <f>SUM(E7:E14)</f>
        <v>2</v>
      </c>
      <c r="F15" s="40">
        <f>SUM(D15:E15)</f>
        <v>53</v>
      </c>
      <c r="G15" s="318">
        <f>SUM(G7:G14)</f>
        <v>7</v>
      </c>
      <c r="H15" s="320">
        <f>SUM(H7:H14)</f>
        <v>73</v>
      </c>
      <c r="I15" s="460" t="s">
        <v>398</v>
      </c>
      <c r="J15" s="461"/>
      <c r="K15" s="31"/>
    </row>
    <row r="16" spans="1:11" ht="18">
      <c r="A16" s="245" t="s">
        <v>742</v>
      </c>
      <c r="B16" s="464" t="s">
        <v>738</v>
      </c>
      <c r="C16" s="465"/>
      <c r="D16" s="326">
        <v>39</v>
      </c>
      <c r="E16" s="327">
        <v>21</v>
      </c>
      <c r="F16" s="304">
        <f>E16+D16</f>
        <v>60</v>
      </c>
      <c r="G16" s="327">
        <v>27</v>
      </c>
      <c r="H16" s="327">
        <v>14</v>
      </c>
      <c r="I16" s="458" t="s">
        <v>392</v>
      </c>
      <c r="J16" s="459"/>
      <c r="K16" s="245" t="s">
        <v>728</v>
      </c>
    </row>
    <row r="17" spans="1:11" ht="18">
      <c r="A17" s="469" t="s">
        <v>321</v>
      </c>
      <c r="B17" s="462" t="s">
        <v>380</v>
      </c>
      <c r="C17" s="355"/>
      <c r="D17" s="334">
        <v>2</v>
      </c>
      <c r="E17" s="174">
        <v>0</v>
      </c>
      <c r="F17" s="38">
        <f>SUM(D17:E17)</f>
        <v>2</v>
      </c>
      <c r="G17" s="174">
        <v>0</v>
      </c>
      <c r="H17" s="174">
        <v>0</v>
      </c>
      <c r="I17" s="462" t="s">
        <v>381</v>
      </c>
      <c r="J17" s="355"/>
      <c r="K17" s="471" t="s">
        <v>325</v>
      </c>
    </row>
    <row r="18" spans="1:11" ht="18">
      <c r="A18" s="470"/>
      <c r="B18" s="457" t="s">
        <v>390</v>
      </c>
      <c r="C18" s="346"/>
      <c r="D18" s="334">
        <v>21</v>
      </c>
      <c r="E18" s="174">
        <v>0</v>
      </c>
      <c r="F18" s="38">
        <f t="shared" ref="F18:F19" si="1">SUM(D18:E18)</f>
        <v>21</v>
      </c>
      <c r="G18" s="174">
        <v>0</v>
      </c>
      <c r="H18" s="174">
        <v>0</v>
      </c>
      <c r="I18" s="457" t="s">
        <v>391</v>
      </c>
      <c r="J18" s="346"/>
      <c r="K18" s="472"/>
    </row>
    <row r="19" spans="1:11" ht="18">
      <c r="A19" s="470"/>
      <c r="B19" s="457" t="s">
        <v>399</v>
      </c>
      <c r="C19" s="346"/>
      <c r="D19" s="334">
        <v>67</v>
      </c>
      <c r="E19" s="174">
        <v>17</v>
      </c>
      <c r="F19" s="38">
        <f t="shared" si="1"/>
        <v>84</v>
      </c>
      <c r="G19" s="174">
        <v>23</v>
      </c>
      <c r="H19" s="174">
        <v>17</v>
      </c>
      <c r="I19" s="457" t="s">
        <v>400</v>
      </c>
      <c r="J19" s="346"/>
      <c r="K19" s="472"/>
    </row>
    <row r="20" spans="1:11" s="2" customFormat="1" ht="15.6" customHeight="1">
      <c r="A20" s="235"/>
      <c r="B20" s="466" t="s">
        <v>401</v>
      </c>
      <c r="C20" s="467"/>
      <c r="D20" s="318">
        <f>SUM(D17:D19)</f>
        <v>90</v>
      </c>
      <c r="E20" s="319">
        <f>SUM(E17:E19)</f>
        <v>17</v>
      </c>
      <c r="F20" s="304">
        <f>SUM(D20:E20)</f>
        <v>107</v>
      </c>
      <c r="G20" s="319">
        <f>SUM(G17:G19)</f>
        <v>23</v>
      </c>
      <c r="H20" s="320">
        <f>SUM(H17:H19)</f>
        <v>17</v>
      </c>
      <c r="I20" s="466" t="s">
        <v>398</v>
      </c>
      <c r="J20" s="467"/>
      <c r="K20" s="235"/>
    </row>
    <row r="21" spans="1:11" ht="18">
      <c r="A21" s="444" t="s">
        <v>322</v>
      </c>
      <c r="B21" s="438" t="s">
        <v>402</v>
      </c>
      <c r="C21" s="355"/>
      <c r="D21" s="322">
        <v>117</v>
      </c>
      <c r="E21" s="174">
        <v>34</v>
      </c>
      <c r="F21" s="38">
        <f>SUM(D21:E21)</f>
        <v>151</v>
      </c>
      <c r="G21" s="322">
        <v>33</v>
      </c>
      <c r="H21" s="324">
        <v>118</v>
      </c>
      <c r="I21" s="416" t="s">
        <v>403</v>
      </c>
      <c r="J21" s="355"/>
      <c r="K21" s="473" t="s">
        <v>326</v>
      </c>
    </row>
    <row r="22" spans="1:11" ht="15.6" customHeight="1">
      <c r="A22" s="445"/>
      <c r="B22" s="418" t="s">
        <v>404</v>
      </c>
      <c r="C22" s="346"/>
      <c r="D22" s="334">
        <v>17</v>
      </c>
      <c r="E22" s="335">
        <v>95</v>
      </c>
      <c r="F22" s="38">
        <f t="shared" ref="F22:F23" si="2">SUM(D22:E22)</f>
        <v>112</v>
      </c>
      <c r="G22" s="334">
        <v>100</v>
      </c>
      <c r="H22" s="336">
        <v>17</v>
      </c>
      <c r="I22" s="425" t="s">
        <v>405</v>
      </c>
      <c r="J22" s="346"/>
      <c r="K22" s="474"/>
    </row>
    <row r="23" spans="1:11" ht="15.6" customHeight="1">
      <c r="A23" s="445"/>
      <c r="B23" s="441" t="s">
        <v>406</v>
      </c>
      <c r="C23" s="346"/>
      <c r="D23" s="337">
        <v>181</v>
      </c>
      <c r="E23" s="335">
        <v>578</v>
      </c>
      <c r="F23" s="38">
        <f t="shared" si="2"/>
        <v>759</v>
      </c>
      <c r="G23" s="337">
        <v>594</v>
      </c>
      <c r="H23" s="338">
        <v>189</v>
      </c>
      <c r="I23" s="425" t="s">
        <v>407</v>
      </c>
      <c r="J23" s="346"/>
      <c r="K23" s="474"/>
    </row>
    <row r="24" spans="1:11" s="2" customFormat="1" ht="18">
      <c r="A24" s="236"/>
      <c r="B24" s="468" t="s">
        <v>408</v>
      </c>
      <c r="C24" s="461"/>
      <c r="D24" s="318">
        <f>SUM(D21:D23)</f>
        <v>315</v>
      </c>
      <c r="E24" s="318">
        <f>SUM(E21:E23)</f>
        <v>707</v>
      </c>
      <c r="F24" s="304">
        <f>SUM(D24:E24)</f>
        <v>1022</v>
      </c>
      <c r="G24" s="332">
        <f>SUM(G21:G23)</f>
        <v>727</v>
      </c>
      <c r="H24" s="333">
        <f>SUM(H21:H23)</f>
        <v>324</v>
      </c>
      <c r="I24" s="463" t="s">
        <v>409</v>
      </c>
      <c r="J24" s="461"/>
      <c r="K24" s="236"/>
    </row>
    <row r="25" spans="1:11" ht="18">
      <c r="A25" s="156"/>
      <c r="B25" s="455" t="s">
        <v>748</v>
      </c>
      <c r="C25" s="456"/>
      <c r="D25" s="318">
        <v>223</v>
      </c>
      <c r="E25" s="320">
        <v>5</v>
      </c>
      <c r="F25" s="304">
        <f>SUM(D25:E25)</f>
        <v>228</v>
      </c>
      <c r="G25" s="332">
        <v>5</v>
      </c>
      <c r="H25" s="333">
        <v>225</v>
      </c>
      <c r="I25" s="155"/>
      <c r="J25" s="155"/>
      <c r="K25" s="154" t="s">
        <v>410</v>
      </c>
    </row>
  </sheetData>
  <mergeCells count="50">
    <mergeCell ref="A21:A23"/>
    <mergeCell ref="A17:A19"/>
    <mergeCell ref="A7:A14"/>
    <mergeCell ref="K17:K19"/>
    <mergeCell ref="K21:K23"/>
    <mergeCell ref="K7:K14"/>
    <mergeCell ref="B18:C18"/>
    <mergeCell ref="B9:C9"/>
    <mergeCell ref="I22:J22"/>
    <mergeCell ref="I13:J13"/>
    <mergeCell ref="B17:C17"/>
    <mergeCell ref="B11:C11"/>
    <mergeCell ref="B20:C20"/>
    <mergeCell ref="B24:C24"/>
    <mergeCell ref="I14:J14"/>
    <mergeCell ref="I10:J10"/>
    <mergeCell ref="B21:C21"/>
    <mergeCell ref="I23:J23"/>
    <mergeCell ref="B16:C16"/>
    <mergeCell ref="B7:C7"/>
    <mergeCell ref="I17:J17"/>
    <mergeCell ref="I20:J20"/>
    <mergeCell ref="B4:C6"/>
    <mergeCell ref="B15:C15"/>
    <mergeCell ref="A4:A6"/>
    <mergeCell ref="I15:J15"/>
    <mergeCell ref="B10:C10"/>
    <mergeCell ref="B12:C12"/>
    <mergeCell ref="I11:J11"/>
    <mergeCell ref="H5:H6"/>
    <mergeCell ref="G5:G6"/>
    <mergeCell ref="I7:J7"/>
    <mergeCell ref="D4:F4"/>
    <mergeCell ref="B13:C13"/>
    <mergeCell ref="K4:K6"/>
    <mergeCell ref="B25:C25"/>
    <mergeCell ref="I8:J8"/>
    <mergeCell ref="I4:J6"/>
    <mergeCell ref="I9:J9"/>
    <mergeCell ref="B19:C19"/>
    <mergeCell ref="I18:J18"/>
    <mergeCell ref="I12:J12"/>
    <mergeCell ref="B8:C8"/>
    <mergeCell ref="I16:J16"/>
    <mergeCell ref="B23:C23"/>
    <mergeCell ref="I19:J19"/>
    <mergeCell ref="B14:C14"/>
    <mergeCell ref="I24:J24"/>
    <mergeCell ref="B22:C22"/>
    <mergeCell ref="I21:J21"/>
  </mergeCells>
  <hyperlinks>
    <hyperlink ref="A1" location="'فهرس - Index'!A1" tooltip="#'فهرس - Index'!A1 - Click once to follow. Click and hold to select this cell." display="عودة للفهرس-return to Index" xr:uid="{FE8768D0-AAFB-4B7A-8828-9F4044A5745D}"/>
  </hyperlinks>
  <pageMargins left="0.7" right="0.7" top="0.75" bottom="0.75" header="0.3" footer="0.3"/>
  <ignoredErrors>
    <ignoredError sqref="F15:H19 F21:H24" formula="1"/>
    <ignoredError sqref="F20:H20" formula="1" formulaRange="1"/>
    <ignoredError sqref="D20:E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تعريف - Def</vt:lpstr>
      <vt:lpstr>فهرس - Index</vt:lpstr>
      <vt:lpstr>جدول 1 Table</vt:lpstr>
      <vt:lpstr>جدول 2 Table</vt:lpstr>
      <vt:lpstr>جدول 3 Table</vt:lpstr>
      <vt:lpstr>جدول 4 Table</vt:lpstr>
      <vt:lpstr>جدول 5 Table</vt:lpstr>
      <vt:lpstr>جدول 6 Table</vt:lpstr>
      <vt:lpstr>جدول 7 Table</vt:lpstr>
      <vt:lpstr>جدول 8 Table</vt:lpstr>
      <vt:lpstr>جدول 9 Table</vt:lpstr>
      <vt:lpstr>جدول 10 Table</vt:lpstr>
      <vt:lpstr>جدول 11 Table</vt:lpstr>
      <vt:lpstr>جدول 12 Table</vt:lpstr>
      <vt:lpstr>جدول 13 Table</vt:lpstr>
      <vt:lpstr>جدول 14 Table</vt:lpstr>
      <vt:lpstr>جدول 15 Table</vt:lpstr>
      <vt:lpstr>جدول 16 Table</vt:lpstr>
      <vt:lpstr>جدول 17 Table</vt:lpstr>
      <vt:lpstr>جدول 18 Table</vt:lpstr>
      <vt:lpstr>جدول 19 Table</vt:lpstr>
      <vt:lpstr>جدول 20 Table</vt:lpstr>
      <vt:lpstr>جدول 21 Table</vt:lpstr>
      <vt:lpstr>جدول 22 Table</vt:lpstr>
      <vt:lpstr>جدول 23 Table</vt:lpstr>
      <vt:lpstr>جدول 24 Table</vt:lpstr>
      <vt:lpstr>جدول 25 Table</vt:lpstr>
      <vt:lpstr>جدول 26 Table</vt:lpstr>
      <vt:lpstr>جدول 27 Table</vt:lpstr>
      <vt:lpstr>جدول 28 Table</vt:lpstr>
      <vt:lpstr>جدول 29 Table</vt:lpstr>
      <vt:lpstr>جدول 30 Table</vt:lpstr>
      <vt:lpstr>جدول 31 Table</vt:lpstr>
      <vt:lpstr>جدول 32 Table</vt:lpstr>
      <vt:lpstr>جدول 33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wael azat</cp:lastModifiedBy>
  <dcterms:created xsi:type="dcterms:W3CDTF">2015-06-05T18:17:20Z</dcterms:created>
  <dcterms:modified xsi:type="dcterms:W3CDTF">2025-07-02T05:49:05Z</dcterms:modified>
</cp:coreProperties>
</file>